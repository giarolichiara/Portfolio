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aro\OneDrive\Desktop\ProfessionAI\Tecniche avanzate excel\Progetto\"/>
    </mc:Choice>
  </mc:AlternateContent>
  <xr:revisionPtr revIDLastSave="0" documentId="13_ncr:1_{D919AE82-D7D0-49FE-9BDF-A41F499D25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y trades" sheetId="2" r:id="rId1"/>
    <sheet name="Stock Exchanges" sheetId="1" r:id="rId2"/>
    <sheet name="Profit Insights" sheetId="3" r:id="rId3"/>
    <sheet name="Number of trades Exchanged" sheetId="4" r:id="rId4"/>
  </sheets>
  <definedNames>
    <definedName name="_xlchart.v1.0" hidden="1">'Profit Insights'!$B$1</definedName>
    <definedName name="_xlchart.v1.1" hidden="1">'Profit Insights'!$B$2:$B$201</definedName>
    <definedName name="_xlchart.v1.2" hidden="1">'Profit Insights'!$C$1</definedName>
    <definedName name="_xlchart.v1.3" hidden="1">'Profit Insights'!$C$2:$C$201</definedName>
    <definedName name="DatiEsterni_1" localSheetId="0" hidden="1">'My trades'!$A$1:$H$204</definedName>
    <definedName name="DatiEsterni_1" localSheetId="3" hidden="1">'Number of trades Exchanged'!#REF!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4" l="1"/>
  <c r="D3" i="1"/>
  <c r="D5" i="1"/>
  <c r="D7" i="1"/>
  <c r="D10" i="1"/>
  <c r="D13" i="1"/>
  <c r="D15" i="1"/>
  <c r="D17" i="1"/>
  <c r="D20" i="1"/>
  <c r="D22" i="1"/>
  <c r="D24" i="1"/>
  <c r="D26" i="1"/>
  <c r="D28" i="1"/>
  <c r="D30" i="1"/>
  <c r="D32" i="1"/>
  <c r="D34" i="1"/>
  <c r="D36" i="1"/>
  <c r="D39" i="1"/>
  <c r="P18" i="4"/>
  <c r="P19" i="4"/>
  <c r="P8" i="4"/>
  <c r="P9" i="4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568AD-33A7-47E9-AE79-1EA2B8A08B8A}" keepAlive="1" name="Query - My trades" description="Connessione alla query 'My trades' nella cartella di lavoro." type="5" refreshedVersion="8" background="1" saveData="1">
    <dbPr connection="Provider=Microsoft.Mashup.OleDb.1;Data Source=$Workbook$;Location=&quot;My trades&quot;;Extended Properties=&quot;&quot;" command="SELECT * FROM [My trades]"/>
  </connection>
  <connection id="2" xr16:uid="{544CA8B0-CDC8-4713-92E9-DA19BBA7AA44}" keepAlive="1" name="Query - My trades (2)" description="Connessione alla query 'My trades (2)' nella cartella di lavoro." type="5" refreshedVersion="8" background="1" saveData="1">
    <dbPr connection="Provider=Microsoft.Mashup.OleDb.1;Data Source=$Workbook$;Location=&quot;My trades (2)&quot;;Extended Properties=&quot;&quot;" command="SELECT * FROM [My trades (2)]"/>
  </connection>
</connections>
</file>

<file path=xl/sharedStrings.xml><?xml version="1.0" encoding="utf-8"?>
<sst xmlns="http://schemas.openxmlformats.org/spreadsheetml/2006/main" count="914" uniqueCount="261">
  <si>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</si>
  <si>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</si>
  <si>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</si>
  <si>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</si>
  <si>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</si>
  <si>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</si>
  <si>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</si>
  <si>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</si>
  <si>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</si>
  <si>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</si>
  <si>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</si>
  <si>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</si>
  <si>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</si>
  <si>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</si>
  <si>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</si>
  <si>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</si>
  <si>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</si>
  <si>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</si>
  <si>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</si>
  <si>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</si>
  <si>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</si>
  <si>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</si>
  <si>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</si>
  <si>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</si>
  <si>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</si>
  <si>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</si>
  <si>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</si>
  <si>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</si>
  <si>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</si>
  <si>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</si>
  <si>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</si>
  <si>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</si>
  <si>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</si>
  <si>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</si>
  <si>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</si>
  <si>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</si>
  <si>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</si>
  <si>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</si>
  <si>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</si>
  <si>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</si>
  <si>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</si>
  <si>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</si>
  <si>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</si>
  <si>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</si>
  <si>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</si>
  <si>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</si>
  <si>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</si>
  <si>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</si>
  <si>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</si>
  <si>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</si>
  <si>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</si>
  <si>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</si>
  <si>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</si>
  <si>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</si>
  <si>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</si>
  <si>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</si>
  <si>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</si>
  <si>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</si>
  <si>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</si>
  <si>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</si>
  <si>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</si>
  <si>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</si>
  <si>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</si>
  <si>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</si>
  <si>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</si>
  <si>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</si>
  <si>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</si>
  <si>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</si>
  <si>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</si>
  <si>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</si>
  <si>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</si>
  <si>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</si>
  <si>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</si>
  <si>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</si>
  <si>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</si>
  <si>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</si>
  <si>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</si>
  <si>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</si>
  <si>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</si>
  <si>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</si>
  <si>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</si>
  <si>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</si>
  <si>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</si>
  <si>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</si>
  <si>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</si>
  <si>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</si>
  <si>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</si>
  <si>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</si>
  <si>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</si>
  <si>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</si>
  <si>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</si>
  <si>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</si>
  <si>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</si>
  <si>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</si>
  <si>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</si>
  <si>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</si>
  <si>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</si>
  <si>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</si>
  <si>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</si>
  <si>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</si>
  <si>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</si>
  <si>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</si>
  <si>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</si>
  <si>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</si>
  <si>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</si>
  <si>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</si>
  <si>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</si>
  <si>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</si>
  <si>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</si>
  <si>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</si>
  <si>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</si>
  <si>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</si>
  <si>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</si>
  <si>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</si>
  <si>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</si>
  <si>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</si>
  <si>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</si>
  <si>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</si>
  <si>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</si>
  <si>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</si>
  <si>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</si>
  <si>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</si>
  <si>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</si>
  <si>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</si>
  <si>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</si>
  <si>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</si>
  <si>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</si>
  <si>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</si>
  <si>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</si>
  <si>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</si>
  <si>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</si>
  <si>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</si>
  <si>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</si>
  <si>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</si>
  <si>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</si>
  <si>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</si>
  <si>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</si>
  <si>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</si>
  <si>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</si>
  <si>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</si>
  <si>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</si>
  <si>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</si>
  <si>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</si>
  <si>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</si>
  <si>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</si>
  <si>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</si>
  <si>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</si>
  <si>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</si>
  <si>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</si>
  <si>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</si>
  <si>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</si>
  <si>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</si>
  <si>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</si>
  <si>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</si>
  <si>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</si>
  <si>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</si>
  <si>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</si>
  <si>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</si>
  <si>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</si>
  <si>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</si>
  <si>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</si>
  <si>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</si>
  <si>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</si>
  <si>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</si>
  <si>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</si>
  <si>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</si>
  <si>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</si>
  <si>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</si>
  <si>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</si>
  <si>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</si>
  <si>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</si>
  <si>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</si>
  <si>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</si>
  <si>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</si>
  <si>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</si>
  <si>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</si>
  <si>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</si>
  <si>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</si>
  <si>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</si>
  <si>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</si>
  <si>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</si>
  <si>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</si>
  <si>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</si>
  <si>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</si>
  <si>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</si>
  <si>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</si>
  <si>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</si>
  <si>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</si>
  <si>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</si>
  <si>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</si>
  <si>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</si>
  <si>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</si>
  <si>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</si>
  <si>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</si>
  <si>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</si>
  <si>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</si>
  <si>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</si>
  <si>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</si>
  <si>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</si>
  <si>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</si>
  <si>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</si>
  <si>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</si>
  <si>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</si>
  <si>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</si>
  <si>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</si>
  <si>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</si>
  <si>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</si>
  <si>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</si>
  <si>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</si>
  <si>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</si>
  <si>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</si>
  <si>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</si>
  <si>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</si>
  <si>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</si>
  <si>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</si>
  <si>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</si>
  <si>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</si>
  <si>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</si>
  <si>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</si>
  <si>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</si>
  <si>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</si>
  <si>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</si>
  <si>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</si>
  <si>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</si>
  <si>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</si>
  <si>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</si>
  <si>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</si>
  <si>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</si>
  <si>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</si>
  <si>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</si>
  <si>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</si>
  <si>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</si>
  <si>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</si>
  <si>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</si>
  <si>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</si>
  <si>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</si>
  <si>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</si>
  <si>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</si>
  <si>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</si>
  <si>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</si>
  <si>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</si>
  <si>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</si>
  <si>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</si>
  <si>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</si>
  <si>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</si>
  <si>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TradeID</t>
  </si>
  <si>
    <t>Probability of a trade occurring in the UK with quantity equal to 1</t>
  </si>
  <si>
    <t>Probability of a trade occurring in an Asian country with quantity &lt;= 8</t>
  </si>
  <si>
    <t>Profit</t>
  </si>
  <si>
    <t>Duration of trade (days)</t>
  </si>
  <si>
    <t>Osservando la distribuzione delle durate rappresentate nel grafico, si nota che i valori non seguono una distribuzione normale. In una distribuzione normale ci si aspetterebbe una forma simmetrica a campana, con la maggior parte dei dati concentrati attorno alla media e una diminuzione graduale verso le estremità. Nel nostro caso invece, possiamo notare una distribuzione asimmetrica con una concentrazione di valori elevati nelle classi intermedie e alte, ma senza un chiaro picco centrale e un netto calo nella classe finale che suggerisce una coda verso destra.</t>
  </si>
  <si>
    <t>Count of TradeID</t>
  </si>
  <si>
    <t>Total</t>
  </si>
  <si>
    <t>sum asian trade &lt;= 8</t>
  </si>
  <si>
    <t>Num of trades</t>
  </si>
  <si>
    <t>Totale</t>
  </si>
  <si>
    <t>Totale complessivo</t>
  </si>
  <si>
    <t>Mandatory to pay taxes</t>
  </si>
  <si>
    <t>probability:</t>
  </si>
  <si>
    <t>percentage probability:</t>
  </si>
  <si>
    <t>trade in uk equal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</si>
</sst>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000"/>
    <numFmt numFmtId="169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FF"/>
      <name val="Comic Sans MS"/>
      <family val="4"/>
    </font>
    <font>
      <b/>
      <sz val="12"/>
      <color rgb="FF0000FF"/>
      <name val="Comic Sans MS"/>
      <family val="4"/>
    </font>
    <font>
      <sz val="11"/>
      <color rgb="FFFF0000"/>
      <name val="Calibri"/>
      <family val="2"/>
      <scheme val="minor"/>
    </font>
    <font>
      <sz val="12"/>
      <color rgb="FFFF0000"/>
      <name val="Comic Sans MS"/>
      <family val="4"/>
    </font>
    <font>
      <b/>
      <sz val="1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14" fontId="3" fillId="0" borderId="0" xfId="0" applyNumberFormat="1" applyFont="1"/>
    <xf numFmtId="0" fontId="3" fillId="0" borderId="0" xfId="0" applyFont="1"/>
    <xf numFmtId="164" fontId="0" fillId="0" borderId="0" xfId="0" applyNumberFormat="1"/>
    <xf numFmtId="0" fontId="7" fillId="0" borderId="0" xfId="0" applyFont="1"/>
    <xf numFmtId="0" fontId="6" fillId="0" borderId="0" xfId="0" applyFont="1"/>
    <xf numFmtId="14" fontId="6" fillId="0" borderId="0" xfId="0" applyNumberFormat="1" applyFont="1"/>
    <xf numFmtId="0" fontId="0" fillId="0" borderId="0" xfId="0" applyAlignment="1">
      <alignment wrapText="1"/>
    </xf>
    <xf numFmtId="0" fontId="5" fillId="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pivotButton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9" fontId="2" fillId="0" borderId="2" xfId="1" applyFont="1" applyBorder="1" applyAlignment="1">
      <alignment vertical="center"/>
    </xf>
    <xf numFmtId="169" fontId="2" fillId="0" borderId="2" xfId="1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2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sz val="12"/>
        <color rgb="FF0000FF"/>
        <name val="Comic Sans MS"/>
        <family val="4"/>
        <scheme val="none"/>
      </font>
      <fill>
        <patternFill patternType="solid">
          <fgColor indexed="64"/>
          <bgColor theme="8" tint="0.79998168889431442"/>
        </patternFill>
      </fill>
    </dxf>
    <dxf>
      <font>
        <sz val="12"/>
        <color rgb="FF0000FF"/>
        <name val="Comic Sans MS"/>
        <family val="4"/>
        <scheme val="none"/>
      </font>
      <fill>
        <patternFill patternType="solid">
          <fgColor indexed="64"/>
          <bgColor theme="8" tint="0.79998168889431442"/>
        </patternFill>
      </fill>
    </dxf>
    <dxf>
      <font>
        <sz val="12"/>
        <color rgb="FF0000FF"/>
        <name val="Comic Sans MS"/>
        <family val="4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b/>
        <color rgb="FF0000FF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0"/>
    </dxf>
    <dxf>
      <font>
        <name val="Comic Sans MS"/>
        <family val="4"/>
        <scheme val="none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double">
          <color auto="1"/>
        </bottom>
      </border>
    </dxf>
    <dxf>
      <border>
        <bottom style="double">
          <color auto="1"/>
        </bottom>
      </border>
    </dxf>
    <dxf>
      <border>
        <bottom style="double">
          <color auto="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FF"/>
        <name val="Comic Sans MS"/>
        <family val="4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  <sz val="12"/>
        <color rgb="FF0000FF"/>
        <name val="Comic Sans MS"/>
        <family val="4"/>
        <scheme val="none"/>
      </font>
      <fill>
        <patternFill patternType="solid">
          <fgColor indexed="64"/>
          <bgColor theme="8" tint="0.79998168889431442"/>
        </patternFill>
      </fill>
    </dxf>
    <dxf>
      <font>
        <b/>
        <sz val="12"/>
        <color rgb="FF0000FF"/>
        <name val="Comic Sans MS"/>
        <family val="4"/>
        <scheme val="none"/>
      </font>
      <fill>
        <patternFill patternType="solid">
          <fgColor indexed="64"/>
          <bgColor theme="8" tint="0.79998168889431442"/>
        </patternFill>
      </fill>
    </dxf>
    <dxf>
      <border>
        <bottom style="double">
          <color auto="1"/>
        </bottom>
      </border>
    </dxf>
    <dxf>
      <border>
        <bottom style="double">
          <color auto="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rgb="FF0000FF"/>
        <name val="Comic Sans MS"/>
        <family val="4"/>
        <scheme val="none"/>
      </font>
    </dxf>
    <dxf>
      <font>
        <sz val="12"/>
        <color rgb="FF0000FF"/>
        <name val="Comic Sans MS"/>
        <family val="4"/>
        <scheme val="none"/>
      </font>
    </dxf>
    <dxf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 style="double">
          <color auto="1"/>
        </vertical>
      </border>
    </dxf>
    <dxf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 style="double">
          <color auto="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color rgb="FF0000FF"/>
      </font>
    </dxf>
    <dxf>
      <font>
        <color rgb="FF0000FF"/>
      </font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FF"/>
        <name val="Comic Sans MS"/>
        <family val="4"/>
        <scheme val="none"/>
      </font>
      <fill>
        <patternFill patternType="none">
          <fgColor indexed="64"/>
          <bgColor auto="1"/>
        </patternFill>
      </fill>
      <border diagonalUp="0" diagonalDown="0">
        <left style="double">
          <color auto="1"/>
        </left>
        <right style="double">
          <color auto="1"/>
        </right>
        <top/>
        <bottom/>
        <vertical style="double">
          <color auto="1"/>
        </vertical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Trade 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lang="it-IT" sz="1400" b="0" i="0">
              <a:effectLst/>
            </a:rPr>
            <a:t>Trade duration distribution</a:t>
          </a:r>
        </a:p>
      </cx:txPr>
    </cx:title>
    <cx:plotArea>
      <cx:plotAreaRegion>
        <cx:series layoutId="clusteredColumn" uniqueId="{22D39C71-0DE2-458C-ACA0-5961F140EA5E}" formatIdx="0">
          <cx:tx>
            <cx:txData>
              <cx:f>_xlchart.v1.0</cx:f>
              <cx:v>Duration of trade (days)</cx:v>
            </cx:txData>
          </cx:tx>
          <cx:dataId val="0"/>
          <cx:layoutPr>
            <cx:binning intervalClosed="r"/>
          </cx:layoutPr>
        </cx:series>
        <cx:series layoutId="clusteredColumn" hidden="1" uniqueId="{9AEEACC2-A5B2-4854-83A5-5D7F9DAED8E2}" formatIdx="1">
          <cx:tx>
            <cx:txData>
              <cx:f>_xlchart.v1.2</cx:f>
              <cx:v>Profit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68580</xdr:rowOff>
    </xdr:from>
    <xdr:to>
      <xdr:col>10</xdr:col>
      <xdr:colOff>670560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F4A19E9C-5182-89BD-61FC-9D3FD2E8E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9080" y="68580"/>
              <a:ext cx="5974080" cy="2948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ra Giaroli" refreshedDate="45922.674000115738" createdVersion="8" refreshedVersion="8" minRefreshableVersion="3" recordCount="203" xr:uid="{D37D7FC8-2431-416E-BEC6-4006DBC4F3EE}">
  <cacheSource type="worksheet">
    <worksheetSource name="My_trades"/>
  </cacheSource>
  <cacheFields count="10">
    <cacheField name="TradeID" numFmtId="0">
      <sharedItems containsBlank="1" count="201">
        <s v="agfgcfxt"/>
        <s v="aieoltom"/>
        <s v="almuieaq"/>
        <s v="apxkynfx"/>
        <s v="bbjeprsq"/>
        <s v="bcizkhng"/>
        <s v="bdkloegq"/>
        <s v="beszhcyh"/>
        <s v="bjfxoyxb"/>
        <s v="bpjmrhjo"/>
        <s v="brxwzrct"/>
        <s v="bumcnvke"/>
        <s v="cesjzpbs"/>
        <s v="cetffxgx"/>
        <s v="chhqshvn"/>
        <s v="ciykrilb"/>
        <s v="cnitsbpk"/>
        <s v="cntrbotn"/>
        <s v="cwuqczya"/>
        <s v="cymioqte"/>
        <s v="dcnexoao"/>
        <s v="dcplrgaa"/>
        <s v="dieionnl"/>
        <s v="dlgsjszn"/>
        <s v="dpaxyvrx"/>
        <s v="dspetbsq"/>
        <s v="ebkkmqbi"/>
        <s v="egvfikiy"/>
        <s v="eknpqcge"/>
        <s v="ekteqlhb"/>
        <s v="emjmheht"/>
        <s v="eodhevfz"/>
        <s v="ewzlrcco"/>
        <s v="fenldjbq"/>
        <s v="fipcayvv"/>
        <s v="fjcdzhde"/>
        <s v="fjhbimle"/>
        <s v="fkgjitio"/>
        <s v="frlnnmpc"/>
        <s v="fucpzbpk"/>
        <s v="fzpkolfu"/>
        <s v="gcndrwci"/>
        <s v="gfiuzniq"/>
        <s v="giuqiukz"/>
        <s v="gnghjpok"/>
        <s v="goxmkirb"/>
        <s v="gsarsxnf"/>
        <s v="hafqyymf"/>
        <s v="hdpggnqd"/>
        <s v="hdslpwul"/>
        <s v="heuzjzpi"/>
        <s v="hfdavabb"/>
        <s v="hfjghpbq"/>
        <s v="hflsqchs"/>
        <s v="hfwtmipz"/>
        <s v="hkesgmfj"/>
        <s v="hmtiybmi"/>
        <s v="hnmvqkxv"/>
        <s v="hpvfzslv"/>
        <s v="hrfilyua"/>
        <s v="hutszssu"/>
        <s v="iagrfath"/>
        <s v="icbmbfqb"/>
        <s v="icgddrqk"/>
        <s v="ifomvwpk"/>
        <s v="ifskxsgr"/>
        <s v="ivnpgban"/>
        <s v="iztdnkqz"/>
        <s v="jarhgmub"/>
        <s v="jgrpnvil"/>
        <s v="jhrvrggo"/>
        <s v="jszxcuxx"/>
        <s v="jvcllvko"/>
        <s v="jxgqnvpx"/>
        <s v="jyrrbwon"/>
        <s v="kcqqvvon"/>
        <s v="kdxpqsjj"/>
        <s v="kltxxoqv"/>
        <s v="kmlcsefq"/>
        <s v="knifvikn"/>
        <s v="knrhgdai"/>
        <s v="koqfbdwf"/>
        <s v="kpoujdyl"/>
        <s v="kqbdcljv"/>
        <s v="krqkwnaw"/>
        <s v="kwbxqlin"/>
        <s v="kweyaukr"/>
        <s v="ldjllwvy"/>
        <s v="lenpuaop"/>
        <s v="lkxgzzvq"/>
        <s v="loffykcg"/>
        <s v="lpzjhtkm"/>
        <s v="maizvkuo"/>
        <s v="mfdlyjqb"/>
        <s v="mfwvjgje"/>
        <s v="mghfyjbr"/>
        <s v="mjbwcafl"/>
        <s v="mjyuxzvj"/>
        <s v="mkxkerbr"/>
        <s v="mxmztjnk"/>
        <s v="mxpzparg"/>
        <s v="nheepbxg"/>
        <s v="njxhycea"/>
        <s v="nklszbdc"/>
        <s v="nqgoiuik"/>
        <s v="nriklgrf"/>
        <s v="nuleyiit"/>
        <s v="nzyednpn"/>
        <s v="ogszgnpm"/>
        <s v="ohtzxhrm"/>
        <s v="olnjegug"/>
        <s v="oplgqwal"/>
        <s v="orgnwenh"/>
        <s v="ossshndu"/>
        <s v="pberstsl"/>
        <s v="pcifviip"/>
        <s v="pnsxdhqo"/>
        <s v="poohpdwc"/>
        <s v="pswtoazn"/>
        <s v="pxkjcmpp"/>
        <s v="pxzcvvvv"/>
        <s v="pyljmfku"/>
        <s v="pysaclod"/>
        <s v="pywztrno"/>
        <s v="qdqbwhng"/>
        <s v="qexyofhb"/>
        <s v="qhprzdnb"/>
        <s v="qklyndfp"/>
        <s v="qonnwndv"/>
        <s v="rcmrnpig"/>
        <s v="rfngluke"/>
        <s v="rgbcrwet"/>
        <s v="rkupdsbn"/>
        <s v="rxbzlipl"/>
        <s v="rypujago"/>
        <s v="scoljxeg"/>
        <s v="seaeoiib"/>
        <s v="sejklwar"/>
        <s v="seszlhqz"/>
        <s v="sgdkuekd"/>
        <s v="slqawwyu"/>
        <s v="stsjuvrd"/>
        <s v="tazccemg"/>
        <s v="tgayvhvz"/>
        <s v="tiebtpqq"/>
        <s v="tjtyuhoi"/>
        <s v="tsmbtvip"/>
        <s v="tsrjnkjg"/>
        <s v="ttxgpfqy"/>
        <s v="tuneagik"/>
        <s v="twxakkhn"/>
        <s v="txuwmhfn"/>
        <s v="tyoavqhc"/>
        <s v="ucjtvrzo"/>
        <s v="ueoaufxg"/>
        <s v="ugegxjpi"/>
        <s v="uijhzhtp"/>
        <s v="uiytklhp"/>
        <s v="umdvcmek"/>
        <s v="unxxstxp"/>
        <s v="upcbwvls"/>
        <s v="uvenvheh"/>
        <s v="vajwbmmv"/>
        <s v="vggvbbxh"/>
        <s v="vjtxbscg"/>
        <s v="vnkvbrpg"/>
        <s v="vqkagvwm"/>
        <s v="waxzujox"/>
        <s v="wfglkcmq"/>
        <s v="wgpoqytj"/>
        <s v="wgzgfkki"/>
        <s v="wiujcxll"/>
        <s v="wmesgogf"/>
        <s v="wzerurjz"/>
        <s v="xbcdvdtp"/>
        <s v="xgimgqvp"/>
        <s v="xgszegxx"/>
        <s v="xgxazdwr"/>
        <s v="xkdlzakx"/>
        <s v="xmfevyrg"/>
        <s v="xmzhzbvl"/>
        <s v="xslzwome"/>
        <s v="xydeqivj"/>
        <s v="ybasexlh"/>
        <s v="ydcmffnz"/>
        <s v="yjrqvwdc"/>
        <s v="ynqvlbrq"/>
        <s v="ynrcizqr"/>
        <s v="ypdwpcvo"/>
        <s v="yrvvdedn"/>
        <s v="ysndnwiy"/>
        <s v="ywfotaaf"/>
        <s v="yyclexzy"/>
        <s v="zhhtkovi"/>
        <s v="zkxftiop"/>
        <s v="zlqfijoe"/>
        <s v="zrgkwdyf"/>
        <s v="zsbkamjf"/>
        <s v="zsylhezi"/>
        <s v="zvxjotpr"/>
        <m/>
      </sharedItems>
    </cacheField>
    <cacheField name="Stock exchange" numFmtId="0">
      <sharedItems containsBlank="1" count="22">
        <s v="Bombay Stock Exchange"/>
        <s v="Tehran Stock Exchange"/>
        <s v="National Stock Exchange"/>
        <s v="SIX Swiss Exchange"/>
        <s v="Euronext"/>
        <s v="Korea Exchange"/>
        <s v="Johannesburg Stock Exchange"/>
        <s v="Toronto Stock Exchange"/>
        <s v="Deutsche Börse AG"/>
        <s v="Saudi Stock Exchange (Tadawul)"/>
        <s v="Japan Exchange Group"/>
        <s v="Hong Kong Stock Exchange"/>
        <s v="Shanghai Stock Exchange"/>
        <s v="London Stock Exchange"/>
        <s v="B3 Brasil Bolsa Balcão"/>
        <s v="Nasdaq"/>
        <s v="Shenzhen Stock Exchange"/>
        <s v="Taiwan Stock Exchange"/>
        <s v="New York Stock Exchange"/>
        <s v="Australian Securities Exchange"/>
        <s v="Nasdaq Nordic and Baltic Exchanges"/>
        <m/>
      </sharedItems>
    </cacheField>
    <cacheField name="Region" numFmtId="0">
      <sharedItems containsBlank="1" count="18">
        <s v="India"/>
        <s v="Iran"/>
        <s v="Switzerland"/>
        <s v="Europe"/>
        <s v="South Korea"/>
        <s v="South Africa"/>
        <s v="Canada"/>
        <s v="Germany"/>
        <s v="Saudi Arabia"/>
        <s v="Japan"/>
        <s v="Hong Kong"/>
        <s v="China"/>
        <s v="United Kingdom"/>
        <s v="Brazil"/>
        <s v="United States"/>
        <s v="Taiwan"/>
        <s v="Australia"/>
        <m/>
      </sharedItems>
    </cacheField>
    <cacheField name="Date added" numFmtId="14">
      <sharedItems containsNonDate="0" containsDate="1" containsString="0" containsBlank="1" minDate="2021-01-02T00:00:00" maxDate="2022-12-31T00:00:00"/>
    </cacheField>
    <cacheField name="Quantity" numFmtId="0">
      <sharedItems containsString="0" containsBlank="1" containsNumber="1" containsInteger="1" minValue="1" maxValue="10" count="11">
        <n v="7"/>
        <n v="2"/>
        <n v="6"/>
        <n v="1"/>
        <n v="9"/>
        <n v="3"/>
        <n v="4"/>
        <n v="10"/>
        <n v="5"/>
        <n v="8"/>
        <m/>
      </sharedItems>
    </cacheField>
    <cacheField name="Buy Price" numFmtId="0">
      <sharedItems containsString="0" containsBlank="1" containsNumber="1" minValue="2.2027610408179498E-3" maxValue="0.98933192835650696" count="201">
        <n v="0.28318547112501802"/>
        <n v="0.64142747007026002"/>
        <n v="0.98092817996517101"/>
        <n v="0.46027529609517198"/>
        <n v="0.55179844990216698"/>
        <n v="0.30386848867018701"/>
        <n v="0.100945559071712"/>
        <n v="0.13652069785058399"/>
        <n v="0.41670439236003598"/>
        <n v="0.24316986891245501"/>
        <n v="0.80079383386161695"/>
        <n v="0.638981266676107"/>
        <n v="0.34625418958602699"/>
        <n v="0.36584758654187899"/>
        <n v="0.379060395757914"/>
        <n v="0.72895214290311094"/>
        <n v="0.42202075102150899"/>
        <n v="0.221183884694959"/>
        <n v="0.33608049957319502"/>
        <n v="0.66879924137456503"/>
        <n v="0.94855371414201095"/>
        <n v="0.84008770787604403"/>
        <n v="2.2027610408179498E-3"/>
        <n v="0.70520735936114698"/>
        <n v="0.83894286337563995"/>
        <n v="0.87889715359181098"/>
        <n v="0.81200798012546904"/>
        <n v="0.27554760755730201"/>
        <n v="0.15183590676997499"/>
        <n v="0.31751651418006399"/>
        <n v="8.2508842921547004E-2"/>
        <n v="3.8415611438702597E-2"/>
        <n v="0.215773738787989"/>
        <n v="0.72585135876436702"/>
        <n v="0.68255570090641804"/>
        <n v="0.80123839065137303"/>
        <n v="0.86036052556079601"/>
        <n v="0.89411437906362101"/>
        <n v="0.93792316902615502"/>
        <n v="0.70777097045034598"/>
        <n v="0.32809052787687998"/>
        <n v="0.20148931810460499"/>
        <n v="3.5993791246495099E-2"/>
        <n v="0.71704537744139196"/>
        <n v="0.71155870482197403"/>
        <n v="6.4033223650055093E-2"/>
        <n v="0.97988976578176401"/>
        <n v="0.702645841021446"/>
        <n v="6.7860349366877903E-2"/>
        <n v="0.407593318710052"/>
        <n v="0.52920695915069904"/>
        <n v="0.83003541427247696"/>
        <n v="0.13503720101241901"/>
        <n v="0.18457397753690899"/>
        <n v="1.4827494446379701E-2"/>
        <n v="0.27577765609607802"/>
        <n v="1.4798370860461801E-2"/>
        <n v="0.71929697815108395"/>
        <n v="0.45894107528788403"/>
        <n v="0.75369284563293804"/>
        <n v="0.73835370024837998"/>
        <n v="0.585256316656942"/>
        <n v="0.87646719833682096"/>
        <n v="0.68720157697523698"/>
        <n v="0.48588703608226103"/>
        <n v="0.68555193640676504"/>
        <n v="0.574831092396204"/>
        <n v="0.89057060464664195"/>
        <n v="0.64606533640427699"/>
        <n v="2.4408043245797401E-2"/>
        <n v="0.144587962809021"/>
        <n v="1.31744392227479E-2"/>
        <n v="0.81530857906975795"/>
        <n v="0.15491081045699601"/>
        <n v="0.269555056043635"/>
        <n v="0.71512622981990404"/>
        <n v="0.517478802978105"/>
        <n v="0.98933192835650696"/>
        <n v="0.32415684712172899"/>
        <n v="0.64559425958074801"/>
        <n v="0.13502577444900801"/>
        <n v="0.74864767306151003"/>
        <n v="0.105161391848884"/>
        <n v="0.11408685507641"/>
        <n v="0.58372843681935904"/>
        <n v="1.6069181318315098E-2"/>
        <n v="0.77483286137645402"/>
        <n v="0.83415711448827101"/>
        <n v="0.27349998025771599"/>
        <n v="0.17894362318854701"/>
        <n v="0.90504227111458202"/>
        <n v="3.6105377236760302E-3"/>
        <n v="0.256532208615462"/>
        <n v="0.70021844930653598"/>
        <n v="0.86236623667253698"/>
        <n v="0.309379274915278"/>
        <n v="0.55211790295911001"/>
        <n v="0.20150989296011099"/>
        <n v="0.18484009932934201"/>
        <n v="0.34955930087119302"/>
        <n v="0.93189165277683395"/>
        <n v="0.68735083469695002"/>
        <n v="0.17493546348643599"/>
        <n v="0.75215132834364595"/>
        <n v="0.30953917056170199"/>
        <n v="0.62147829765565299"/>
        <n v="0.60752716500644899"/>
        <n v="8.0126723415399101E-2"/>
        <n v="0.165768699711766"/>
        <n v="0.95038285910889397"/>
        <n v="0.34324624551472199"/>
        <n v="0.88394112549340798"/>
        <n v="0.19124266932346201"/>
        <n v="0.70237024955138705"/>
        <n v="0.47664293083306503"/>
        <n v="0.52894618812607497"/>
        <n v="0.90771622925444195"/>
        <n v="0.93532778717298004"/>
        <n v="0.103932010083317"/>
        <n v="0.33696098865178298"/>
        <n v="0.32825674154548301"/>
        <n v="0.47307005712237998"/>
        <n v="0.71248835178386805"/>
        <n v="0.87147093954098998"/>
        <n v="5.4464754581670202E-2"/>
        <n v="0.46539821567982897"/>
        <n v="0.41769016811982401"/>
        <n v="0.90898321519765801"/>
        <n v="2.2277472344418001E-2"/>
        <n v="4.84656763549157E-2"/>
        <n v="0.29076178482231801"/>
        <n v="0.74483031602755301"/>
        <n v="0.55145811024395297"/>
        <n v="0.75204781971908696"/>
        <n v="0.47691846634392299"/>
        <n v="0.351563700735118"/>
        <n v="0.708252824575899"/>
        <n v="8.1168066351901699E-2"/>
        <n v="0.44727279397540398"/>
        <n v="0.55996144918041602"/>
        <n v="0.56230632063577901"/>
        <n v="0.72618042932337601"/>
        <n v="0.113699112632604"/>
        <n v="8.6409222229514596E-2"/>
        <n v="0.573839853564304"/>
        <n v="5.8312359538940997E-2"/>
        <n v="0.717702757066082"/>
        <n v="0.29181649358212502"/>
        <n v="0.41475447056245102"/>
        <n v="0.273622029983696"/>
        <n v="0.36944159210677702"/>
        <n v="0.58311714000128001"/>
        <n v="0.65300297719761102"/>
        <n v="0.29111039384551202"/>
        <n v="0.112536236136402"/>
        <n v="0.15192205963339001"/>
        <n v="0.28151547287029699"/>
        <n v="0.47294292208057698"/>
        <n v="0.95827680251471803"/>
        <n v="0.27963347908695002"/>
        <n v="0.434644149591145"/>
        <n v="0.74838580953710099"/>
        <n v="0.48045901029779903"/>
        <n v="0.98744929724646802"/>
        <n v="5.2479096578398297E-2"/>
        <n v="6.3638338964366797E-2"/>
        <n v="7.0327700844507193E-2"/>
        <n v="0.95057620706778501"/>
        <n v="0.48177369539871401"/>
        <n v="0.43098053100217298"/>
        <n v="0.59735476523394404"/>
        <n v="0.26280269378864801"/>
        <n v="0.90284110874477896"/>
        <n v="0.98199261995326603"/>
        <n v="0.84716039463076198"/>
        <n v="0.30637569785375002"/>
        <n v="0.76879912576772802"/>
        <n v="0.38563992038543599"/>
        <n v="0.85335977277591302"/>
        <n v="0.28334897654743202"/>
        <n v="0.117748642112043"/>
        <n v="0.76783916519082696"/>
        <n v="0.14806713315151801"/>
        <n v="7.8885651390256904E-3"/>
        <n v="6.5026558074850402E-2"/>
        <n v="0.30777843623572698"/>
        <n v="0.1874453216227"/>
        <n v="0.83300140406454304"/>
        <n v="0.27727516856333601"/>
        <n v="0.22356266053190499"/>
        <n v="0.64447099494037297"/>
        <n v="0.91937449423976403"/>
        <n v="0.26377783191771698"/>
        <n v="0.48376018648020602"/>
        <n v="0.56649641364178105"/>
        <n v="0.81758392927810297"/>
        <n v="0.24147425161639699"/>
        <n v="0.51291771398490105"/>
        <n v="0.30094368268289601"/>
        <n v="0.91352809441905303"/>
        <m/>
      </sharedItems>
    </cacheField>
    <cacheField name="Date sold" numFmtId="14">
      <sharedItems containsNonDate="0" containsDate="1" containsString="0" containsBlank="1" minDate="2023-01-02T00:00:00" maxDate="2023-06-16T00:00:00"/>
    </cacheField>
    <cacheField name="Sell Price" numFmtId="0">
      <sharedItems containsString="0" containsBlank="1" containsNumber="1" minValue="6.0761804468123501E-5" maxValue="0.99207281995433205"/>
    </cacheField>
    <cacheField name="Campo1" numFmtId="0" formula=" 0" databaseField="0"/>
    <cacheField name="Campo2" numFmtId="0" formula=" IF(Campo1&gt;66, &quot;YES&quot;, &quot;NO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x v="0"/>
    <d v="2022-10-07T00:00:00"/>
    <x v="0"/>
    <x v="0"/>
    <d v="2023-06-15T00:00:00"/>
    <n v="0.557129814707503"/>
  </r>
  <r>
    <x v="1"/>
    <x v="1"/>
    <x v="1"/>
    <d v="2021-01-04T00:00:00"/>
    <x v="1"/>
    <x v="1"/>
    <d v="2023-04-23T00:00:00"/>
    <n v="0.88983597888511301"/>
  </r>
  <r>
    <x v="2"/>
    <x v="2"/>
    <x v="0"/>
    <d v="2021-11-19T00:00:00"/>
    <x v="2"/>
    <x v="2"/>
    <d v="2023-02-11T00:00:00"/>
    <n v="0.72256312699759195"/>
  </r>
  <r>
    <x v="3"/>
    <x v="3"/>
    <x v="2"/>
    <d v="2022-04-13T00:00:00"/>
    <x v="3"/>
    <x v="3"/>
    <d v="2023-02-14T00:00:00"/>
    <n v="0.82793169583258497"/>
  </r>
  <r>
    <x v="4"/>
    <x v="0"/>
    <x v="0"/>
    <d v="2021-06-04T00:00:00"/>
    <x v="4"/>
    <x v="4"/>
    <d v="2023-02-20T00:00:00"/>
    <n v="0.19789786446941801"/>
  </r>
  <r>
    <x v="5"/>
    <x v="4"/>
    <x v="3"/>
    <d v="2021-11-29T00:00:00"/>
    <x v="3"/>
    <x v="5"/>
    <d v="2023-02-12T00:00:00"/>
    <n v="0.97814412656590199"/>
  </r>
  <r>
    <x v="6"/>
    <x v="5"/>
    <x v="4"/>
    <d v="2021-10-31T00:00:00"/>
    <x v="5"/>
    <x v="6"/>
    <d v="2023-01-04T00:00:00"/>
    <n v="0.407405377776074"/>
  </r>
  <r>
    <x v="7"/>
    <x v="6"/>
    <x v="5"/>
    <d v="2022-01-23T00:00:00"/>
    <x v="6"/>
    <x v="7"/>
    <d v="2023-03-06T00:00:00"/>
    <n v="0.38969057106772598"/>
  </r>
  <r>
    <x v="8"/>
    <x v="7"/>
    <x v="6"/>
    <d v="2021-10-03T00:00:00"/>
    <x v="7"/>
    <x v="8"/>
    <d v="2023-04-29T00:00:00"/>
    <n v="0.54934508287877304"/>
  </r>
  <r>
    <x v="9"/>
    <x v="4"/>
    <x v="3"/>
    <d v="2022-01-26T00:00:00"/>
    <x v="2"/>
    <x v="9"/>
    <d v="2023-03-02T00:00:00"/>
    <n v="0.420232824731951"/>
  </r>
  <r>
    <x v="10"/>
    <x v="8"/>
    <x v="7"/>
    <d v="2021-07-30T00:00:00"/>
    <x v="8"/>
    <x v="10"/>
    <d v="2023-03-11T00:00:00"/>
    <n v="0.89666229529100405"/>
  </r>
  <r>
    <x v="11"/>
    <x v="0"/>
    <x v="0"/>
    <d v="2021-12-13T00:00:00"/>
    <x v="7"/>
    <x v="11"/>
    <d v="2023-04-15T00:00:00"/>
    <n v="0.77496721699985804"/>
  </r>
  <r>
    <x v="12"/>
    <x v="0"/>
    <x v="0"/>
    <d v="2022-12-30T00:00:00"/>
    <x v="9"/>
    <x v="12"/>
    <d v="2023-04-18T00:00:00"/>
    <n v="0.71065052633396197"/>
  </r>
  <r>
    <x v="13"/>
    <x v="9"/>
    <x v="8"/>
    <d v="2021-06-08T00:00:00"/>
    <x v="2"/>
    <x v="13"/>
    <d v="2023-04-07T00:00:00"/>
    <n v="0.45311698845143"/>
  </r>
  <r>
    <x v="14"/>
    <x v="6"/>
    <x v="5"/>
    <d v="2022-05-29T00:00:00"/>
    <x v="2"/>
    <x v="14"/>
    <d v="2023-02-20T00:00:00"/>
    <n v="0.31616207722275602"/>
  </r>
  <r>
    <x v="15"/>
    <x v="10"/>
    <x v="9"/>
    <d v="2022-12-27T00:00:00"/>
    <x v="9"/>
    <x v="15"/>
    <d v="2023-03-15T00:00:00"/>
    <n v="0.22418004410534101"/>
  </r>
  <r>
    <x v="16"/>
    <x v="11"/>
    <x v="10"/>
    <d v="2021-04-08T00:00:00"/>
    <x v="8"/>
    <x v="16"/>
    <d v="2023-05-10T00:00:00"/>
    <n v="0.38793156543941099"/>
  </r>
  <r>
    <x v="17"/>
    <x v="12"/>
    <x v="11"/>
    <d v="2021-05-25T00:00:00"/>
    <x v="6"/>
    <x v="17"/>
    <d v="2023-02-07T00:00:00"/>
    <n v="0.33188863151931702"/>
  </r>
  <r>
    <x v="18"/>
    <x v="2"/>
    <x v="0"/>
    <d v="2021-01-09T00:00:00"/>
    <x v="3"/>
    <x v="18"/>
    <d v="2023-05-21T00:00:00"/>
    <n v="0.632173644236244"/>
  </r>
  <r>
    <x v="19"/>
    <x v="10"/>
    <x v="9"/>
    <d v="2021-07-08T00:00:00"/>
    <x v="3"/>
    <x v="19"/>
    <d v="2023-04-03T00:00:00"/>
    <n v="0.97050369055421803"/>
  </r>
  <r>
    <x v="20"/>
    <x v="13"/>
    <x v="12"/>
    <d v="2021-08-10T00:00:00"/>
    <x v="3"/>
    <x v="20"/>
    <d v="2023-02-07T00:00:00"/>
    <n v="0.335795433783181"/>
  </r>
  <r>
    <x v="21"/>
    <x v="0"/>
    <x v="0"/>
    <d v="2021-04-17T00:00:00"/>
    <x v="4"/>
    <x v="21"/>
    <d v="2023-03-26T00:00:00"/>
    <n v="0.55247139186324401"/>
  </r>
  <r>
    <x v="22"/>
    <x v="14"/>
    <x v="13"/>
    <d v="2021-09-30T00:00:00"/>
    <x v="1"/>
    <x v="22"/>
    <d v="2023-03-31T00:00:00"/>
    <n v="0.38274839978632802"/>
  </r>
  <r>
    <x v="23"/>
    <x v="15"/>
    <x v="14"/>
    <d v="2022-08-13T00:00:00"/>
    <x v="5"/>
    <x v="23"/>
    <d v="2023-04-07T00:00:00"/>
    <n v="0.85427426099032899"/>
  </r>
  <r>
    <x v="24"/>
    <x v="7"/>
    <x v="6"/>
    <d v="2022-11-17T00:00:00"/>
    <x v="1"/>
    <x v="24"/>
    <d v="2023-01-07T00:00:00"/>
    <n v="0.67630232908539301"/>
  </r>
  <r>
    <x v="25"/>
    <x v="14"/>
    <x v="13"/>
    <d v="2022-06-13T00:00:00"/>
    <x v="9"/>
    <x v="25"/>
    <d v="2023-01-06T00:00:00"/>
    <n v="0.20020556920871699"/>
  </r>
  <r>
    <x v="26"/>
    <x v="5"/>
    <x v="4"/>
    <d v="2022-02-07T00:00:00"/>
    <x v="0"/>
    <x v="26"/>
    <d v="2023-05-18T00:00:00"/>
    <n v="0.26150647842758601"/>
  </r>
  <r>
    <x v="27"/>
    <x v="0"/>
    <x v="0"/>
    <d v="2021-10-23T00:00:00"/>
    <x v="3"/>
    <x v="27"/>
    <d v="2023-05-03T00:00:00"/>
    <n v="0.19858809226913399"/>
  </r>
  <r>
    <x v="28"/>
    <x v="0"/>
    <x v="0"/>
    <d v="2021-11-23T00:00:00"/>
    <x v="5"/>
    <x v="28"/>
    <d v="2023-04-20T00:00:00"/>
    <n v="0.96263635120934099"/>
  </r>
  <r>
    <x v="29"/>
    <x v="8"/>
    <x v="7"/>
    <d v="2021-03-26T00:00:00"/>
    <x v="3"/>
    <x v="29"/>
    <d v="2023-02-10T00:00:00"/>
    <n v="0.47080505116614901"/>
  </r>
  <r>
    <x v="30"/>
    <x v="13"/>
    <x v="12"/>
    <d v="2022-02-02T00:00:00"/>
    <x v="0"/>
    <x v="30"/>
    <d v="2023-02-24T00:00:00"/>
    <n v="0.90723039307728803"/>
  </r>
  <r>
    <x v="31"/>
    <x v="16"/>
    <x v="11"/>
    <d v="2021-02-12T00:00:00"/>
    <x v="4"/>
    <x v="31"/>
    <d v="2023-04-18T00:00:00"/>
    <n v="0.69214535069910299"/>
  </r>
  <r>
    <x v="32"/>
    <x v="17"/>
    <x v="15"/>
    <d v="2021-12-11T00:00:00"/>
    <x v="4"/>
    <x v="32"/>
    <d v="2023-04-24T00:00:00"/>
    <n v="0.54884364241615202"/>
  </r>
  <r>
    <x v="33"/>
    <x v="8"/>
    <x v="7"/>
    <d v="2021-09-07T00:00:00"/>
    <x v="8"/>
    <x v="33"/>
    <d v="2023-05-07T00:00:00"/>
    <n v="0.173994592694031"/>
  </r>
  <r>
    <x v="34"/>
    <x v="3"/>
    <x v="2"/>
    <d v="2021-12-24T00:00:00"/>
    <x v="9"/>
    <x v="34"/>
    <d v="2023-03-03T00:00:00"/>
    <n v="0.60454082217188998"/>
  </r>
  <r>
    <x v="35"/>
    <x v="4"/>
    <x v="3"/>
    <d v="2021-01-02T00:00:00"/>
    <x v="5"/>
    <x v="35"/>
    <d v="2023-05-03T00:00:00"/>
    <n v="0.30527628395158701"/>
  </r>
  <r>
    <x v="36"/>
    <x v="17"/>
    <x v="15"/>
    <d v="2022-10-04T00:00:00"/>
    <x v="6"/>
    <x v="36"/>
    <d v="2023-02-11T00:00:00"/>
    <n v="0.75556235613803402"/>
  </r>
  <r>
    <x v="37"/>
    <x v="8"/>
    <x v="7"/>
    <d v="2021-11-03T00:00:00"/>
    <x v="5"/>
    <x v="37"/>
    <d v="2023-01-25T00:00:00"/>
    <n v="0.15236785201696099"/>
  </r>
  <r>
    <x v="38"/>
    <x v="18"/>
    <x v="14"/>
    <d v="2022-01-18T00:00:00"/>
    <x v="7"/>
    <x v="38"/>
    <d v="2023-05-15T00:00:00"/>
    <n v="0.45551581516099299"/>
  </r>
  <r>
    <x v="39"/>
    <x v="1"/>
    <x v="1"/>
    <d v="2022-12-03T00:00:00"/>
    <x v="6"/>
    <x v="39"/>
    <d v="2023-02-12T00:00:00"/>
    <n v="0.29010240599643"/>
  </r>
  <r>
    <x v="40"/>
    <x v="18"/>
    <x v="14"/>
    <d v="2021-04-29T00:00:00"/>
    <x v="7"/>
    <x v="40"/>
    <d v="2023-05-12T00:00:00"/>
    <n v="0.53620178529362506"/>
  </r>
  <r>
    <x v="41"/>
    <x v="1"/>
    <x v="1"/>
    <d v="2022-12-26T00:00:00"/>
    <x v="7"/>
    <x v="41"/>
    <d v="2023-04-11T00:00:00"/>
    <n v="0.37346939187061601"/>
  </r>
  <r>
    <x v="42"/>
    <x v="10"/>
    <x v="9"/>
    <d v="2022-05-27T00:00:00"/>
    <x v="2"/>
    <x v="42"/>
    <d v="2023-02-28T00:00:00"/>
    <n v="0.97861539568179701"/>
  </r>
  <r>
    <x v="43"/>
    <x v="0"/>
    <x v="0"/>
    <d v="2022-08-22T00:00:00"/>
    <x v="3"/>
    <x v="43"/>
    <d v="2023-04-06T00:00:00"/>
    <n v="0.16233553287650401"/>
  </r>
  <r>
    <x v="44"/>
    <x v="12"/>
    <x v="11"/>
    <d v="2021-05-22T00:00:00"/>
    <x v="4"/>
    <x v="44"/>
    <d v="2023-04-29T00:00:00"/>
    <n v="0.15390650537949099"/>
  </r>
  <r>
    <x v="45"/>
    <x v="8"/>
    <x v="7"/>
    <d v="2021-03-19T00:00:00"/>
    <x v="2"/>
    <x v="45"/>
    <d v="2023-03-19T00:00:00"/>
    <n v="4.2104998611888203E-3"/>
  </r>
  <r>
    <x v="46"/>
    <x v="11"/>
    <x v="10"/>
    <d v="2022-06-13T00:00:00"/>
    <x v="0"/>
    <x v="46"/>
    <d v="2023-05-05T00:00:00"/>
    <n v="4.3763329833777703E-2"/>
  </r>
  <r>
    <x v="47"/>
    <x v="7"/>
    <x v="6"/>
    <d v="2021-05-24T00:00:00"/>
    <x v="7"/>
    <x v="47"/>
    <d v="2023-01-02T00:00:00"/>
    <n v="0.369783832169231"/>
  </r>
  <r>
    <x v="48"/>
    <x v="5"/>
    <x v="4"/>
    <d v="2021-11-02T00:00:00"/>
    <x v="5"/>
    <x v="48"/>
    <d v="2023-04-10T00:00:00"/>
    <n v="0.67274821533457596"/>
  </r>
  <r>
    <x v="49"/>
    <x v="13"/>
    <x v="12"/>
    <d v="2021-12-30T00:00:00"/>
    <x v="4"/>
    <x v="49"/>
    <d v="2023-03-03T00:00:00"/>
    <n v="0.63816582309695902"/>
  </r>
  <r>
    <x v="50"/>
    <x v="15"/>
    <x v="14"/>
    <d v="2021-06-14T00:00:00"/>
    <x v="6"/>
    <x v="50"/>
    <d v="2023-02-19T00:00:00"/>
    <n v="0.13238552807963799"/>
  </r>
  <r>
    <x v="51"/>
    <x v="3"/>
    <x v="2"/>
    <d v="2021-05-27T00:00:00"/>
    <x v="3"/>
    <x v="51"/>
    <d v="2023-02-08T00:00:00"/>
    <n v="0.52621974753425005"/>
  </r>
  <r>
    <x v="52"/>
    <x v="3"/>
    <x v="2"/>
    <d v="2021-07-05T00:00:00"/>
    <x v="4"/>
    <x v="52"/>
    <d v="2023-04-01T00:00:00"/>
    <n v="0.85749627053317901"/>
  </r>
  <r>
    <x v="53"/>
    <x v="13"/>
    <x v="12"/>
    <d v="2022-04-29T00:00:00"/>
    <x v="1"/>
    <x v="53"/>
    <d v="2023-03-19T00:00:00"/>
    <n v="0.74032989684219797"/>
  </r>
  <r>
    <x v="54"/>
    <x v="5"/>
    <x v="4"/>
    <d v="2022-09-12T00:00:00"/>
    <x v="0"/>
    <x v="54"/>
    <d v="2023-02-21T00:00:00"/>
    <n v="0.41833053891377597"/>
  </r>
  <r>
    <x v="55"/>
    <x v="6"/>
    <x v="5"/>
    <d v="2021-03-23T00:00:00"/>
    <x v="6"/>
    <x v="55"/>
    <d v="2023-05-25T00:00:00"/>
    <n v="0.84349820990746505"/>
  </r>
  <r>
    <x v="56"/>
    <x v="10"/>
    <x v="9"/>
    <d v="2022-04-16T00:00:00"/>
    <x v="1"/>
    <x v="56"/>
    <d v="2023-03-26T00:00:00"/>
    <n v="0.65581817056759795"/>
  </r>
  <r>
    <x v="57"/>
    <x v="16"/>
    <x v="11"/>
    <d v="2021-08-12T00:00:00"/>
    <x v="6"/>
    <x v="57"/>
    <d v="2023-04-13T00:00:00"/>
    <n v="5.4091466872212501E-2"/>
  </r>
  <r>
    <x v="58"/>
    <x v="8"/>
    <x v="7"/>
    <d v="2022-12-27T00:00:00"/>
    <x v="2"/>
    <x v="58"/>
    <d v="2023-01-26T00:00:00"/>
    <n v="0.64879966285478297"/>
  </r>
  <r>
    <x v="59"/>
    <x v="19"/>
    <x v="16"/>
    <d v="2021-06-09T00:00:00"/>
    <x v="2"/>
    <x v="59"/>
    <d v="2023-03-15T00:00:00"/>
    <n v="0.95310350121023102"/>
  </r>
  <r>
    <x v="60"/>
    <x v="9"/>
    <x v="8"/>
    <d v="2021-04-29T00:00:00"/>
    <x v="0"/>
    <x v="60"/>
    <d v="2023-04-04T00:00:00"/>
    <n v="0.10264222958663"/>
  </r>
  <r>
    <x v="61"/>
    <x v="1"/>
    <x v="1"/>
    <d v="2022-10-26T00:00:00"/>
    <x v="9"/>
    <x v="61"/>
    <d v="2023-04-25T00:00:00"/>
    <n v="0.63534355964006295"/>
  </r>
  <r>
    <x v="62"/>
    <x v="14"/>
    <x v="13"/>
    <d v="2021-05-24T00:00:00"/>
    <x v="4"/>
    <x v="62"/>
    <d v="2023-01-31T00:00:00"/>
    <n v="0.32932752883912297"/>
  </r>
  <r>
    <x v="63"/>
    <x v="8"/>
    <x v="7"/>
    <d v="2022-07-31T00:00:00"/>
    <x v="8"/>
    <x v="63"/>
    <d v="2023-05-08T00:00:00"/>
    <n v="0.79990973215818495"/>
  </r>
  <r>
    <x v="64"/>
    <x v="6"/>
    <x v="5"/>
    <d v="2021-05-31T00:00:00"/>
    <x v="3"/>
    <x v="64"/>
    <d v="2023-04-19T00:00:00"/>
    <n v="0.45518918214522902"/>
  </r>
  <r>
    <x v="65"/>
    <x v="16"/>
    <x v="11"/>
    <d v="2022-04-08T00:00:00"/>
    <x v="1"/>
    <x v="65"/>
    <d v="2023-03-29T00:00:00"/>
    <n v="0.40035912772023502"/>
  </r>
  <r>
    <x v="66"/>
    <x v="14"/>
    <x v="13"/>
    <d v="2022-04-28T00:00:00"/>
    <x v="3"/>
    <x v="66"/>
    <d v="2023-01-10T00:00:00"/>
    <n v="0.14703843884491"/>
  </r>
  <r>
    <x v="67"/>
    <x v="18"/>
    <x v="14"/>
    <d v="2022-08-27T00:00:00"/>
    <x v="6"/>
    <x v="67"/>
    <d v="2023-03-19T00:00:00"/>
    <n v="0.24766978894018499"/>
  </r>
  <r>
    <x v="68"/>
    <x v="0"/>
    <x v="0"/>
    <d v="2022-11-24T00:00:00"/>
    <x v="6"/>
    <x v="68"/>
    <d v="2023-02-20T00:00:00"/>
    <n v="0.75502767909149604"/>
  </r>
  <r>
    <x v="69"/>
    <x v="19"/>
    <x v="16"/>
    <d v="2022-01-13T00:00:00"/>
    <x v="8"/>
    <x v="69"/>
    <d v="2023-04-25T00:00:00"/>
    <n v="0.11842008103757801"/>
  </r>
  <r>
    <x v="70"/>
    <x v="15"/>
    <x v="14"/>
    <d v="2022-07-10T00:00:00"/>
    <x v="3"/>
    <x v="70"/>
    <d v="2023-02-17T00:00:00"/>
    <n v="0.22337306376263399"/>
  </r>
  <r>
    <x v="71"/>
    <x v="11"/>
    <x v="10"/>
    <d v="2022-08-13T00:00:00"/>
    <x v="0"/>
    <x v="71"/>
    <d v="2023-04-14T00:00:00"/>
    <n v="0.97185682841004495"/>
  </r>
  <r>
    <x v="72"/>
    <x v="4"/>
    <x v="3"/>
    <d v="2022-03-24T00:00:00"/>
    <x v="6"/>
    <x v="72"/>
    <d v="2023-01-28T00:00:00"/>
    <n v="0.48260987316073201"/>
  </r>
  <r>
    <x v="73"/>
    <x v="3"/>
    <x v="2"/>
    <d v="2021-12-24T00:00:00"/>
    <x v="2"/>
    <x v="73"/>
    <d v="2023-05-18T00:00:00"/>
    <n v="0.76802453424894601"/>
  </r>
  <r>
    <x v="74"/>
    <x v="14"/>
    <x v="13"/>
    <d v="2022-05-25T00:00:00"/>
    <x v="3"/>
    <x v="74"/>
    <d v="2023-03-15T00:00:00"/>
    <n v="0.122182361751799"/>
  </r>
  <r>
    <x v="75"/>
    <x v="2"/>
    <x v="0"/>
    <d v="2022-08-21T00:00:00"/>
    <x v="5"/>
    <x v="75"/>
    <d v="2023-04-07T00:00:00"/>
    <n v="2.82332058926804E-3"/>
  </r>
  <r>
    <x v="76"/>
    <x v="8"/>
    <x v="7"/>
    <d v="2021-08-15T00:00:00"/>
    <x v="8"/>
    <x v="76"/>
    <d v="2023-03-06T00:00:00"/>
    <n v="0.194941670945359"/>
  </r>
  <r>
    <x v="77"/>
    <x v="14"/>
    <x v="13"/>
    <d v="2021-03-15T00:00:00"/>
    <x v="5"/>
    <x v="77"/>
    <d v="2023-01-26T00:00:00"/>
    <n v="0.116747383128981"/>
  </r>
  <r>
    <x v="78"/>
    <x v="17"/>
    <x v="15"/>
    <d v="2022-10-18T00:00:00"/>
    <x v="8"/>
    <x v="78"/>
    <d v="2023-05-05T00:00:00"/>
    <n v="0.28398523541759901"/>
  </r>
  <r>
    <x v="79"/>
    <x v="0"/>
    <x v="0"/>
    <d v="2021-05-27T00:00:00"/>
    <x v="2"/>
    <x v="79"/>
    <d v="2023-05-11T00:00:00"/>
    <n v="0.74976354481356899"/>
  </r>
  <r>
    <x v="80"/>
    <x v="19"/>
    <x v="16"/>
    <d v="2022-03-23T00:00:00"/>
    <x v="7"/>
    <x v="80"/>
    <d v="2023-05-04T00:00:00"/>
    <n v="9.7289928257875094E-2"/>
  </r>
  <r>
    <x v="81"/>
    <x v="10"/>
    <x v="9"/>
    <d v="2021-06-06T00:00:00"/>
    <x v="9"/>
    <x v="81"/>
    <d v="2023-05-29T00:00:00"/>
    <n v="0.91487830622236999"/>
  </r>
  <r>
    <x v="82"/>
    <x v="12"/>
    <x v="11"/>
    <d v="2022-05-22T00:00:00"/>
    <x v="3"/>
    <x v="82"/>
    <d v="2023-05-08T00:00:00"/>
    <n v="0.22690729464404399"/>
  </r>
  <r>
    <x v="83"/>
    <x v="20"/>
    <x v="3"/>
    <d v="2022-06-30T00:00:00"/>
    <x v="2"/>
    <x v="83"/>
    <d v="2023-01-28T00:00:00"/>
    <n v="0.33571676903915298"/>
  </r>
  <r>
    <x v="84"/>
    <x v="15"/>
    <x v="14"/>
    <d v="2022-02-08T00:00:00"/>
    <x v="3"/>
    <x v="84"/>
    <d v="2023-03-12T00:00:00"/>
    <n v="0.38186645762982302"/>
  </r>
  <r>
    <x v="85"/>
    <x v="20"/>
    <x v="3"/>
    <d v="2022-06-09T00:00:00"/>
    <x v="2"/>
    <x v="85"/>
    <d v="2023-01-02T00:00:00"/>
    <n v="0.93551003990677095"/>
  </r>
  <r>
    <x v="86"/>
    <x v="19"/>
    <x v="16"/>
    <d v="2021-12-14T00:00:00"/>
    <x v="0"/>
    <x v="86"/>
    <d v="2023-02-20T00:00:00"/>
    <n v="0.83972936204120796"/>
  </r>
  <r>
    <x v="87"/>
    <x v="8"/>
    <x v="7"/>
    <d v="2021-04-18T00:00:00"/>
    <x v="2"/>
    <x v="87"/>
    <d v="2023-04-16T00:00:00"/>
    <n v="0.73754903864989096"/>
  </r>
  <r>
    <x v="88"/>
    <x v="2"/>
    <x v="0"/>
    <d v="2021-03-30T00:00:00"/>
    <x v="0"/>
    <x v="88"/>
    <d v="2023-05-10T00:00:00"/>
    <n v="0.398707058551939"/>
  </r>
  <r>
    <x v="89"/>
    <x v="4"/>
    <x v="3"/>
    <d v="2021-03-24T00:00:00"/>
    <x v="7"/>
    <x v="89"/>
    <d v="2023-04-10T00:00:00"/>
    <n v="0.27983535659688702"/>
  </r>
  <r>
    <x v="90"/>
    <x v="0"/>
    <x v="0"/>
    <d v="2021-01-10T00:00:00"/>
    <x v="1"/>
    <x v="90"/>
    <d v="2023-01-31T00:00:00"/>
    <n v="0.45883084719257899"/>
  </r>
  <r>
    <x v="91"/>
    <x v="14"/>
    <x v="13"/>
    <d v="2021-12-27T00:00:00"/>
    <x v="6"/>
    <x v="91"/>
    <d v="2023-03-08T00:00:00"/>
    <n v="0.430410454177235"/>
  </r>
  <r>
    <x v="92"/>
    <x v="18"/>
    <x v="14"/>
    <d v="2021-06-19T00:00:00"/>
    <x v="1"/>
    <x v="92"/>
    <d v="2023-02-18T00:00:00"/>
    <n v="0.25683090454434099"/>
  </r>
  <r>
    <x v="93"/>
    <x v="19"/>
    <x v="16"/>
    <d v="2021-02-23T00:00:00"/>
    <x v="8"/>
    <x v="93"/>
    <d v="2023-03-23T00:00:00"/>
    <n v="0.61187665279577597"/>
  </r>
  <r>
    <x v="94"/>
    <x v="4"/>
    <x v="3"/>
    <d v="2021-02-08T00:00:00"/>
    <x v="1"/>
    <x v="94"/>
    <d v="2023-03-30T00:00:00"/>
    <n v="0.56413054876588398"/>
  </r>
  <r>
    <x v="95"/>
    <x v="20"/>
    <x v="3"/>
    <d v="2022-08-01T00:00:00"/>
    <x v="8"/>
    <x v="95"/>
    <d v="2023-03-30T00:00:00"/>
    <n v="6.4512653240185102E-3"/>
  </r>
  <r>
    <x v="96"/>
    <x v="19"/>
    <x v="16"/>
    <d v="2021-07-19T00:00:00"/>
    <x v="0"/>
    <x v="96"/>
    <d v="2023-03-26T00:00:00"/>
    <n v="0.33871055216854301"/>
  </r>
  <r>
    <x v="97"/>
    <x v="20"/>
    <x v="3"/>
    <d v="2021-10-22T00:00:00"/>
    <x v="6"/>
    <x v="97"/>
    <d v="2023-05-21T00:00:00"/>
    <n v="0.23936851527945999"/>
  </r>
  <r>
    <x v="98"/>
    <x v="2"/>
    <x v="0"/>
    <d v="2021-12-04T00:00:00"/>
    <x v="8"/>
    <x v="98"/>
    <d v="2023-01-26T00:00:00"/>
    <n v="0.17511595791935999"/>
  </r>
  <r>
    <x v="99"/>
    <x v="7"/>
    <x v="6"/>
    <d v="2022-11-07T00:00:00"/>
    <x v="2"/>
    <x v="99"/>
    <d v="2023-01-03T00:00:00"/>
    <n v="0.53327527116873796"/>
  </r>
  <r>
    <x v="100"/>
    <x v="19"/>
    <x v="16"/>
    <d v="2021-09-29T00:00:00"/>
    <x v="5"/>
    <x v="100"/>
    <d v="2023-02-05T00:00:00"/>
    <n v="2.43785689040747E-2"/>
  </r>
  <r>
    <x v="101"/>
    <x v="17"/>
    <x v="15"/>
    <d v="2022-12-26T00:00:00"/>
    <x v="7"/>
    <x v="101"/>
    <d v="2023-03-05T00:00:00"/>
    <n v="0.41787841201432302"/>
  </r>
  <r>
    <x v="102"/>
    <x v="9"/>
    <x v="8"/>
    <d v="2022-02-13T00:00:00"/>
    <x v="8"/>
    <x v="102"/>
    <d v="2023-03-16T00:00:00"/>
    <n v="0.83666855090333903"/>
  </r>
  <r>
    <x v="103"/>
    <x v="19"/>
    <x v="16"/>
    <d v="2022-04-08T00:00:00"/>
    <x v="0"/>
    <x v="103"/>
    <d v="2023-05-05T00:00:00"/>
    <n v="2.6168363795351798E-2"/>
  </r>
  <r>
    <x v="104"/>
    <x v="9"/>
    <x v="8"/>
    <d v="2021-03-08T00:00:00"/>
    <x v="3"/>
    <x v="104"/>
    <d v="2023-05-12T00:00:00"/>
    <n v="0.66043948995340296"/>
  </r>
  <r>
    <x v="105"/>
    <x v="15"/>
    <x v="14"/>
    <d v="2021-08-14T00:00:00"/>
    <x v="7"/>
    <x v="105"/>
    <d v="2023-04-29T00:00:00"/>
    <n v="0.44466276095616802"/>
  </r>
  <r>
    <x v="106"/>
    <x v="14"/>
    <x v="13"/>
    <d v="2022-12-08T00:00:00"/>
    <x v="0"/>
    <x v="106"/>
    <d v="2023-04-13T00:00:00"/>
    <n v="0.90286839870973001"/>
  </r>
  <r>
    <x v="107"/>
    <x v="11"/>
    <x v="10"/>
    <d v="2022-09-06T00:00:00"/>
    <x v="7"/>
    <x v="107"/>
    <d v="2023-02-16T00:00:00"/>
    <n v="0.51635999068168204"/>
  </r>
  <r>
    <x v="108"/>
    <x v="4"/>
    <x v="3"/>
    <d v="2022-06-04T00:00:00"/>
    <x v="3"/>
    <x v="108"/>
    <d v="2023-02-01T00:00:00"/>
    <n v="0.35219920122081899"/>
  </r>
  <r>
    <x v="109"/>
    <x v="14"/>
    <x v="13"/>
    <d v="2021-03-21T00:00:00"/>
    <x v="0"/>
    <x v="109"/>
    <d v="2023-05-21T00:00:00"/>
    <n v="0.493774747227402"/>
  </r>
  <r>
    <x v="110"/>
    <x v="3"/>
    <x v="2"/>
    <d v="2022-05-28T00:00:00"/>
    <x v="9"/>
    <x v="110"/>
    <d v="2023-02-23T00:00:00"/>
    <n v="5.5941217861464797E-2"/>
  </r>
  <r>
    <x v="111"/>
    <x v="14"/>
    <x v="13"/>
    <d v="2022-12-12T00:00:00"/>
    <x v="4"/>
    <x v="111"/>
    <d v="2023-01-23T00:00:00"/>
    <n v="0.170650898099275"/>
  </r>
  <r>
    <x v="112"/>
    <x v="1"/>
    <x v="1"/>
    <d v="2022-01-17T00:00:00"/>
    <x v="1"/>
    <x v="112"/>
    <d v="2023-01-27T00:00:00"/>
    <n v="0.44988838372928502"/>
  </r>
  <r>
    <x v="113"/>
    <x v="10"/>
    <x v="9"/>
    <d v="2021-05-08T00:00:00"/>
    <x v="4"/>
    <x v="113"/>
    <d v="2023-04-23T00:00:00"/>
    <n v="0.23474526869976101"/>
  </r>
  <r>
    <x v="114"/>
    <x v="5"/>
    <x v="4"/>
    <d v="2021-09-25T00:00:00"/>
    <x v="3"/>
    <x v="114"/>
    <d v="2023-03-13T00:00:00"/>
    <n v="0.23032087534575099"/>
  </r>
  <r>
    <x v="115"/>
    <x v="15"/>
    <x v="14"/>
    <d v="2022-01-20T00:00:00"/>
    <x v="9"/>
    <x v="115"/>
    <d v="2023-03-13T00:00:00"/>
    <n v="0.14894391596640999"/>
  </r>
  <r>
    <x v="116"/>
    <x v="19"/>
    <x v="16"/>
    <d v="2022-02-03T00:00:00"/>
    <x v="3"/>
    <x v="116"/>
    <d v="2023-01-30T00:00:00"/>
    <n v="0.76439006848756197"/>
  </r>
  <r>
    <x v="117"/>
    <x v="13"/>
    <x v="12"/>
    <d v="2022-03-05T00:00:00"/>
    <x v="6"/>
    <x v="117"/>
    <d v="2023-01-07T00:00:00"/>
    <n v="2.9378328012187802E-2"/>
  </r>
  <r>
    <x v="118"/>
    <x v="0"/>
    <x v="0"/>
    <d v="2022-08-28T00:00:00"/>
    <x v="2"/>
    <x v="118"/>
    <d v="2023-02-28T00:00:00"/>
    <n v="6.0761804468123501E-5"/>
  </r>
  <r>
    <x v="119"/>
    <x v="2"/>
    <x v="0"/>
    <d v="2022-01-28T00:00:00"/>
    <x v="5"/>
    <x v="119"/>
    <d v="2023-04-18T00:00:00"/>
    <n v="0.68587611661549097"/>
  </r>
  <r>
    <x v="120"/>
    <x v="11"/>
    <x v="10"/>
    <d v="2022-06-21T00:00:00"/>
    <x v="4"/>
    <x v="120"/>
    <d v="2023-02-24T00:00:00"/>
    <n v="0.48045519677837101"/>
  </r>
  <r>
    <x v="121"/>
    <x v="3"/>
    <x v="2"/>
    <d v="2022-11-14T00:00:00"/>
    <x v="7"/>
    <x v="121"/>
    <d v="2023-01-11T00:00:00"/>
    <n v="0.10169187940690801"/>
  </r>
  <r>
    <x v="122"/>
    <x v="8"/>
    <x v="7"/>
    <d v="2021-06-24T00:00:00"/>
    <x v="4"/>
    <x v="122"/>
    <d v="2023-02-18T00:00:00"/>
    <n v="0.42914106932160101"/>
  </r>
  <r>
    <x v="123"/>
    <x v="6"/>
    <x v="5"/>
    <d v="2022-08-19T00:00:00"/>
    <x v="3"/>
    <x v="123"/>
    <d v="2023-02-10T00:00:00"/>
    <n v="0.35443622359295701"/>
  </r>
  <r>
    <x v="124"/>
    <x v="1"/>
    <x v="1"/>
    <d v="2021-03-17T00:00:00"/>
    <x v="2"/>
    <x v="124"/>
    <d v="2023-03-28T00:00:00"/>
    <n v="0.49434155447053002"/>
  </r>
  <r>
    <x v="125"/>
    <x v="19"/>
    <x v="16"/>
    <d v="2022-11-21T00:00:00"/>
    <x v="9"/>
    <x v="125"/>
    <d v="2023-04-22T00:00:00"/>
    <n v="0.39766402949830199"/>
  </r>
  <r>
    <x v="126"/>
    <x v="14"/>
    <x v="13"/>
    <d v="2021-07-03T00:00:00"/>
    <x v="1"/>
    <x v="126"/>
    <d v="2023-03-05T00:00:00"/>
    <n v="0.67060305745283799"/>
  </r>
  <r>
    <x v="127"/>
    <x v="11"/>
    <x v="10"/>
    <d v="2022-04-10T00:00:00"/>
    <x v="8"/>
    <x v="127"/>
    <d v="2023-05-21T00:00:00"/>
    <n v="0.71076510162728801"/>
  </r>
  <r>
    <x v="128"/>
    <x v="19"/>
    <x v="16"/>
    <d v="2021-04-11T00:00:00"/>
    <x v="1"/>
    <x v="128"/>
    <d v="2023-05-07T00:00:00"/>
    <n v="0.31572522679826798"/>
  </r>
  <r>
    <x v="129"/>
    <x v="2"/>
    <x v="0"/>
    <d v="2021-01-27T00:00:00"/>
    <x v="7"/>
    <x v="129"/>
    <d v="2023-04-25T00:00:00"/>
    <n v="0.76568330987062005"/>
  </r>
  <r>
    <x v="130"/>
    <x v="17"/>
    <x v="15"/>
    <d v="2022-02-24T00:00:00"/>
    <x v="7"/>
    <x v="130"/>
    <d v="2023-01-19T00:00:00"/>
    <n v="0.33143123502147698"/>
  </r>
  <r>
    <x v="131"/>
    <x v="18"/>
    <x v="14"/>
    <d v="2021-07-21T00:00:00"/>
    <x v="2"/>
    <x v="131"/>
    <d v="2023-05-21T00:00:00"/>
    <n v="0.45618689536000101"/>
  </r>
  <r>
    <x v="132"/>
    <x v="7"/>
    <x v="6"/>
    <d v="2021-02-17T00:00:00"/>
    <x v="1"/>
    <x v="132"/>
    <d v="2023-01-12T00:00:00"/>
    <n v="0.43942741221319298"/>
  </r>
  <r>
    <x v="133"/>
    <x v="8"/>
    <x v="7"/>
    <d v="2022-06-03T00:00:00"/>
    <x v="1"/>
    <x v="133"/>
    <d v="2023-03-31T00:00:00"/>
    <n v="0.46296822834011098"/>
  </r>
  <r>
    <x v="134"/>
    <x v="15"/>
    <x v="14"/>
    <d v="2021-01-29T00:00:00"/>
    <x v="0"/>
    <x v="134"/>
    <d v="2023-02-24T00:00:00"/>
    <n v="0.46204966570717498"/>
  </r>
  <r>
    <x v="135"/>
    <x v="20"/>
    <x v="3"/>
    <d v="2021-09-03T00:00:00"/>
    <x v="4"/>
    <x v="135"/>
    <d v="2023-04-07T00:00:00"/>
    <n v="0.95442216883254405"/>
  </r>
  <r>
    <x v="136"/>
    <x v="8"/>
    <x v="7"/>
    <d v="2022-11-13T00:00:00"/>
    <x v="5"/>
    <x v="136"/>
    <d v="2023-05-01T00:00:00"/>
    <n v="0.25743349659995701"/>
  </r>
  <r>
    <x v="137"/>
    <x v="13"/>
    <x v="12"/>
    <d v="2021-12-05T00:00:00"/>
    <x v="2"/>
    <x v="137"/>
    <d v="2023-03-19T00:00:00"/>
    <n v="0.51544985308443603"/>
  </r>
  <r>
    <x v="138"/>
    <x v="17"/>
    <x v="15"/>
    <d v="2022-09-11T00:00:00"/>
    <x v="5"/>
    <x v="138"/>
    <d v="2023-02-04T00:00:00"/>
    <n v="0.72124646028638995"/>
  </r>
  <r>
    <x v="139"/>
    <x v="7"/>
    <x v="6"/>
    <d v="2022-05-09T00:00:00"/>
    <x v="8"/>
    <x v="139"/>
    <d v="2023-02-25T00:00:00"/>
    <n v="4.0845294204603297E-3"/>
  </r>
  <r>
    <x v="140"/>
    <x v="20"/>
    <x v="3"/>
    <d v="2021-11-21T00:00:00"/>
    <x v="6"/>
    <x v="140"/>
    <d v="2023-05-14T00:00:00"/>
    <n v="0.68743114384612203"/>
  </r>
  <r>
    <x v="141"/>
    <x v="7"/>
    <x v="6"/>
    <d v="2022-07-27T00:00:00"/>
    <x v="8"/>
    <x v="141"/>
    <d v="2023-03-28T00:00:00"/>
    <n v="0.31138195774945998"/>
  </r>
  <r>
    <x v="142"/>
    <x v="16"/>
    <x v="11"/>
    <d v="2021-01-10T00:00:00"/>
    <x v="5"/>
    <x v="142"/>
    <d v="2023-03-27T00:00:00"/>
    <n v="3.0869795040312301E-2"/>
  </r>
  <r>
    <x v="143"/>
    <x v="20"/>
    <x v="3"/>
    <d v="2022-09-18T00:00:00"/>
    <x v="3"/>
    <x v="143"/>
    <d v="2023-01-19T00:00:00"/>
    <n v="0.720395287309052"/>
  </r>
  <r>
    <x v="144"/>
    <x v="16"/>
    <x v="11"/>
    <d v="2021-10-15T00:00:00"/>
    <x v="6"/>
    <x v="144"/>
    <d v="2023-05-04T00:00:00"/>
    <n v="0.74143260510805697"/>
  </r>
  <r>
    <x v="145"/>
    <x v="6"/>
    <x v="5"/>
    <d v="2022-06-22T00:00:00"/>
    <x v="7"/>
    <x v="145"/>
    <d v="2023-04-25T00:00:00"/>
    <n v="0.50418526458823998"/>
  </r>
  <r>
    <x v="146"/>
    <x v="13"/>
    <x v="12"/>
    <d v="2021-10-11T00:00:00"/>
    <x v="0"/>
    <x v="146"/>
    <d v="2023-01-10T00:00:00"/>
    <n v="0.1182538345041"/>
  </r>
  <r>
    <x v="147"/>
    <x v="5"/>
    <x v="4"/>
    <d v="2021-12-04T00:00:00"/>
    <x v="3"/>
    <x v="147"/>
    <d v="2023-01-18T00:00:00"/>
    <n v="0.59525600260086198"/>
  </r>
  <r>
    <x v="148"/>
    <x v="14"/>
    <x v="13"/>
    <d v="2022-02-24T00:00:00"/>
    <x v="0"/>
    <x v="148"/>
    <d v="2023-03-07T00:00:00"/>
    <n v="0.41302964862980401"/>
  </r>
  <r>
    <x v="149"/>
    <x v="1"/>
    <x v="1"/>
    <d v="2022-07-24T00:00:00"/>
    <x v="5"/>
    <x v="149"/>
    <d v="2023-04-10T00:00:00"/>
    <n v="0.28004873586635498"/>
  </r>
  <r>
    <x v="150"/>
    <x v="19"/>
    <x v="16"/>
    <d v="2022-10-23T00:00:00"/>
    <x v="8"/>
    <x v="150"/>
    <d v="2023-01-18T00:00:00"/>
    <n v="0.83598479662907399"/>
  </r>
  <r>
    <x v="151"/>
    <x v="19"/>
    <x v="16"/>
    <d v="2022-02-15T00:00:00"/>
    <x v="3"/>
    <x v="151"/>
    <d v="2023-03-01T00:00:00"/>
    <n v="0.132094119226041"/>
  </r>
  <r>
    <x v="152"/>
    <x v="8"/>
    <x v="7"/>
    <d v="2021-04-26T00:00:00"/>
    <x v="2"/>
    <x v="152"/>
    <d v="2023-03-28T00:00:00"/>
    <n v="0.67542025364515701"/>
  </r>
  <r>
    <x v="153"/>
    <x v="16"/>
    <x v="11"/>
    <d v="2022-05-03T00:00:00"/>
    <x v="9"/>
    <x v="153"/>
    <d v="2023-03-18T00:00:00"/>
    <n v="0.67736656660512595"/>
  </r>
  <r>
    <x v="154"/>
    <x v="16"/>
    <x v="11"/>
    <d v="2021-02-13T00:00:00"/>
    <x v="6"/>
    <x v="154"/>
    <d v="2023-05-05T00:00:00"/>
    <n v="0.73892418680528005"/>
  </r>
  <r>
    <x v="155"/>
    <x v="8"/>
    <x v="7"/>
    <d v="2022-01-18T00:00:00"/>
    <x v="4"/>
    <x v="155"/>
    <d v="2023-03-14T00:00:00"/>
    <n v="0.20150857478536399"/>
  </r>
  <r>
    <x v="156"/>
    <x v="19"/>
    <x v="16"/>
    <d v="2022-09-26T00:00:00"/>
    <x v="1"/>
    <x v="156"/>
    <d v="2023-02-14T00:00:00"/>
    <n v="0.112845737208008"/>
  </r>
  <r>
    <x v="157"/>
    <x v="0"/>
    <x v="0"/>
    <d v="2022-01-19T00:00:00"/>
    <x v="1"/>
    <x v="157"/>
    <d v="2023-04-07T00:00:00"/>
    <n v="0.79212265204075905"/>
  </r>
  <r>
    <x v="158"/>
    <x v="0"/>
    <x v="0"/>
    <d v="2022-02-13T00:00:00"/>
    <x v="1"/>
    <x v="158"/>
    <d v="2023-03-24T00:00:00"/>
    <n v="0.89660265479322399"/>
  </r>
  <r>
    <x v="159"/>
    <x v="9"/>
    <x v="8"/>
    <d v="2022-02-12T00:00:00"/>
    <x v="1"/>
    <x v="159"/>
    <d v="2023-01-23T00:00:00"/>
    <n v="0.24854191017697499"/>
  </r>
  <r>
    <x v="160"/>
    <x v="15"/>
    <x v="14"/>
    <d v="2021-03-02T00:00:00"/>
    <x v="9"/>
    <x v="160"/>
    <d v="2023-01-29T00:00:00"/>
    <n v="0.625342854199327"/>
  </r>
  <r>
    <x v="161"/>
    <x v="12"/>
    <x v="11"/>
    <d v="2022-07-03T00:00:00"/>
    <x v="8"/>
    <x v="161"/>
    <d v="2023-02-23T00:00:00"/>
    <n v="0.56239389347784197"/>
  </r>
  <r>
    <x v="162"/>
    <x v="7"/>
    <x v="6"/>
    <d v="2022-12-21T00:00:00"/>
    <x v="2"/>
    <x v="162"/>
    <d v="2023-05-18T00:00:00"/>
    <n v="0.433788778732414"/>
  </r>
  <r>
    <x v="163"/>
    <x v="14"/>
    <x v="13"/>
    <d v="2021-06-07T00:00:00"/>
    <x v="0"/>
    <x v="163"/>
    <d v="2023-05-03T00:00:00"/>
    <n v="0.21163360381443899"/>
  </r>
  <r>
    <x v="164"/>
    <x v="0"/>
    <x v="0"/>
    <d v="2022-05-30T00:00:00"/>
    <x v="5"/>
    <x v="164"/>
    <d v="2023-05-23T00:00:00"/>
    <n v="5.8390055671951401E-2"/>
  </r>
  <r>
    <x v="165"/>
    <x v="12"/>
    <x v="11"/>
    <d v="2022-08-28T00:00:00"/>
    <x v="6"/>
    <x v="165"/>
    <d v="2023-03-29T00:00:00"/>
    <n v="0.82222519151117301"/>
  </r>
  <r>
    <x v="166"/>
    <x v="4"/>
    <x v="3"/>
    <d v="2021-11-15T00:00:00"/>
    <x v="5"/>
    <x v="166"/>
    <d v="2023-02-17T00:00:00"/>
    <n v="9.4112460113233404E-2"/>
  </r>
  <r>
    <x v="167"/>
    <x v="18"/>
    <x v="14"/>
    <d v="2022-12-02T00:00:00"/>
    <x v="5"/>
    <x v="167"/>
    <d v="2023-04-24T00:00:00"/>
    <n v="0.96163422719710601"/>
  </r>
  <r>
    <x v="168"/>
    <x v="19"/>
    <x v="16"/>
    <d v="2022-12-08T00:00:00"/>
    <x v="3"/>
    <x v="168"/>
    <d v="2023-04-30T00:00:00"/>
    <n v="0.92834498334210402"/>
  </r>
  <r>
    <x v="169"/>
    <x v="13"/>
    <x v="12"/>
    <d v="2021-01-08T00:00:00"/>
    <x v="1"/>
    <x v="169"/>
    <d v="2023-01-22T00:00:00"/>
    <n v="0.43731221847381901"/>
  </r>
  <r>
    <x v="170"/>
    <x v="5"/>
    <x v="4"/>
    <d v="2021-08-31T00:00:00"/>
    <x v="9"/>
    <x v="170"/>
    <d v="2023-02-25T00:00:00"/>
    <n v="0.16822758298431501"/>
  </r>
  <r>
    <x v="171"/>
    <x v="5"/>
    <x v="4"/>
    <d v="2021-09-10T00:00:00"/>
    <x v="2"/>
    <x v="171"/>
    <d v="2023-03-29T00:00:00"/>
    <n v="0.14823080489066301"/>
  </r>
  <r>
    <x v="172"/>
    <x v="12"/>
    <x v="11"/>
    <d v="2022-08-06T00:00:00"/>
    <x v="6"/>
    <x v="172"/>
    <d v="2023-03-23T00:00:00"/>
    <n v="0.63507569454438495"/>
  </r>
  <r>
    <x v="173"/>
    <x v="3"/>
    <x v="2"/>
    <d v="2021-02-14T00:00:00"/>
    <x v="2"/>
    <x v="173"/>
    <d v="2023-03-09T00:00:00"/>
    <n v="0.54481123922804697"/>
  </r>
  <r>
    <x v="174"/>
    <x v="10"/>
    <x v="9"/>
    <d v="2021-02-02T00:00:00"/>
    <x v="5"/>
    <x v="174"/>
    <d v="2023-05-21T00:00:00"/>
    <n v="1.3086187744415801E-2"/>
  </r>
  <r>
    <x v="175"/>
    <x v="20"/>
    <x v="3"/>
    <d v="2022-10-02T00:00:00"/>
    <x v="8"/>
    <x v="175"/>
    <d v="2023-03-23T00:00:00"/>
    <n v="1.25503463839893E-3"/>
  </r>
  <r>
    <x v="176"/>
    <x v="12"/>
    <x v="11"/>
    <d v="2021-01-15T00:00:00"/>
    <x v="2"/>
    <x v="176"/>
    <d v="2023-03-21T00:00:00"/>
    <n v="0.86548533755676105"/>
  </r>
  <r>
    <x v="177"/>
    <x v="8"/>
    <x v="7"/>
    <d v="2021-11-14T00:00:00"/>
    <x v="0"/>
    <x v="177"/>
    <d v="2023-03-19T00:00:00"/>
    <n v="0.508902669316179"/>
  </r>
  <r>
    <x v="178"/>
    <x v="18"/>
    <x v="14"/>
    <d v="2021-04-23T00:00:00"/>
    <x v="9"/>
    <x v="178"/>
    <d v="2023-04-05T00:00:00"/>
    <n v="0.99207281995433205"/>
  </r>
  <r>
    <x v="179"/>
    <x v="1"/>
    <x v="1"/>
    <d v="2021-04-03T00:00:00"/>
    <x v="8"/>
    <x v="179"/>
    <d v="2023-02-08T00:00:00"/>
    <n v="0.63454053513977304"/>
  </r>
  <r>
    <x v="180"/>
    <x v="18"/>
    <x v="14"/>
    <d v="2022-01-11T00:00:00"/>
    <x v="5"/>
    <x v="180"/>
    <d v="2023-05-27T00:00:00"/>
    <n v="0.67092430905617095"/>
  </r>
  <r>
    <x v="181"/>
    <x v="9"/>
    <x v="8"/>
    <d v="2022-08-17T00:00:00"/>
    <x v="8"/>
    <x v="181"/>
    <d v="2023-04-05T00:00:00"/>
    <n v="0.24099871039557799"/>
  </r>
  <r>
    <x v="182"/>
    <x v="9"/>
    <x v="8"/>
    <d v="2022-07-24T00:00:00"/>
    <x v="1"/>
    <x v="182"/>
    <d v="2023-05-05T00:00:00"/>
    <n v="0.312315972509696"/>
  </r>
  <r>
    <x v="183"/>
    <x v="9"/>
    <x v="8"/>
    <d v="2022-01-16T00:00:00"/>
    <x v="0"/>
    <x v="183"/>
    <d v="2023-04-21T00:00:00"/>
    <n v="0.42001946730883299"/>
  </r>
  <r>
    <x v="184"/>
    <x v="17"/>
    <x v="15"/>
    <d v="2021-08-08T00:00:00"/>
    <x v="0"/>
    <x v="184"/>
    <d v="2023-03-20T00:00:00"/>
    <n v="0.566596656084567"/>
  </r>
  <r>
    <x v="185"/>
    <x v="2"/>
    <x v="0"/>
    <d v="2022-11-18T00:00:00"/>
    <x v="3"/>
    <x v="185"/>
    <d v="2023-02-06T00:00:00"/>
    <n v="0.172453184843159"/>
  </r>
  <r>
    <x v="186"/>
    <x v="6"/>
    <x v="5"/>
    <d v="2021-01-18T00:00:00"/>
    <x v="8"/>
    <x v="186"/>
    <d v="2023-02-04T00:00:00"/>
    <n v="0.22911064366850301"/>
  </r>
  <r>
    <x v="187"/>
    <x v="10"/>
    <x v="9"/>
    <d v="2021-07-26T00:00:00"/>
    <x v="2"/>
    <x v="187"/>
    <d v="2023-04-10T00:00:00"/>
    <n v="0.70242147925557197"/>
  </r>
  <r>
    <x v="188"/>
    <x v="8"/>
    <x v="7"/>
    <d v="2022-05-13T00:00:00"/>
    <x v="5"/>
    <x v="188"/>
    <d v="2023-04-20T00:00:00"/>
    <n v="0.34199564672456301"/>
  </r>
  <r>
    <x v="189"/>
    <x v="0"/>
    <x v="0"/>
    <d v="2021-01-03T00:00:00"/>
    <x v="1"/>
    <x v="189"/>
    <d v="2023-01-25T00:00:00"/>
    <n v="0.43217504342818902"/>
  </r>
  <r>
    <x v="190"/>
    <x v="11"/>
    <x v="10"/>
    <d v="2022-02-14T00:00:00"/>
    <x v="2"/>
    <x v="190"/>
    <d v="2023-02-18T00:00:00"/>
    <n v="0.96567027076396705"/>
  </r>
  <r>
    <x v="191"/>
    <x v="12"/>
    <x v="11"/>
    <d v="2022-07-18T00:00:00"/>
    <x v="2"/>
    <x v="191"/>
    <d v="2023-01-15T00:00:00"/>
    <n v="0.80855685548065803"/>
  </r>
  <r>
    <x v="192"/>
    <x v="16"/>
    <x v="11"/>
    <d v="2021-07-14T00:00:00"/>
    <x v="3"/>
    <x v="192"/>
    <d v="2023-01-17T00:00:00"/>
    <n v="0.53464391868976202"/>
  </r>
  <r>
    <x v="193"/>
    <x v="6"/>
    <x v="5"/>
    <d v="2021-09-18T00:00:00"/>
    <x v="5"/>
    <x v="193"/>
    <d v="2023-02-26T00:00:00"/>
    <n v="0.28976743361438201"/>
  </r>
  <r>
    <x v="194"/>
    <x v="14"/>
    <x v="13"/>
    <d v="2021-08-01T00:00:00"/>
    <x v="1"/>
    <x v="194"/>
    <d v="2023-01-22T00:00:00"/>
    <n v="0.76019400248091895"/>
  </r>
  <r>
    <x v="195"/>
    <x v="19"/>
    <x v="16"/>
    <d v="2021-02-02T00:00:00"/>
    <x v="7"/>
    <x v="195"/>
    <d v="2023-01-11T00:00:00"/>
    <n v="0.16419798109251399"/>
  </r>
  <r>
    <x v="196"/>
    <x v="11"/>
    <x v="10"/>
    <d v="2021-08-04T00:00:00"/>
    <x v="8"/>
    <x v="196"/>
    <d v="2023-03-20T00:00:00"/>
    <n v="0.23302367858983999"/>
  </r>
  <r>
    <x v="197"/>
    <x v="14"/>
    <x v="13"/>
    <d v="2022-09-24T00:00:00"/>
    <x v="2"/>
    <x v="197"/>
    <d v="2023-03-02T00:00:00"/>
    <n v="0.755021488484095"/>
  </r>
  <r>
    <x v="198"/>
    <x v="17"/>
    <x v="15"/>
    <d v="2022-06-30T00:00:00"/>
    <x v="4"/>
    <x v="198"/>
    <d v="2023-04-21T00:00:00"/>
    <n v="0.55983002083455202"/>
  </r>
  <r>
    <x v="199"/>
    <x v="14"/>
    <x v="13"/>
    <d v="2021-11-02T00:00:00"/>
    <x v="9"/>
    <x v="199"/>
    <d v="2023-02-21T00:00:00"/>
    <n v="0.137985792121295"/>
  </r>
  <r>
    <x v="200"/>
    <x v="21"/>
    <x v="17"/>
    <m/>
    <x v="10"/>
    <x v="200"/>
    <m/>
    <m/>
  </r>
  <r>
    <x v="200"/>
    <x v="21"/>
    <x v="17"/>
    <m/>
    <x v="10"/>
    <x v="200"/>
    <m/>
    <m/>
  </r>
  <r>
    <x v="200"/>
    <x v="21"/>
    <x v="17"/>
    <m/>
    <x v="10"/>
    <x v="2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DE17B-D610-454B-8107-D28D8706CBBE}" name="Tabella pivot1" cacheId="0" applyNumberFormats="0" applyBorderFormats="0" applyFontFormats="0" applyPatternFormats="0" applyAlignmentFormats="0" applyWidthHeightFormats="1" dataCaption="Valori" grandTotalCaption="Totale complessivo" updatedVersion="8" minRefreshableVersion="3" useAutoFormatting="1" itemPrintTitles="1" createdVersion="8" indent="0" compact="0" compactData="0" multipleFieldFilters="0" rowHeaderCaption="Region">
  <location ref="A1:C40" firstHeaderRow="1" firstDataRow="1" firstDataCol="2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9"/>
        <item x="14"/>
        <item x="0"/>
        <item x="8"/>
        <item x="4"/>
        <item x="11"/>
        <item x="10"/>
        <item x="6"/>
        <item x="5"/>
        <item x="13"/>
        <item x="15"/>
        <item x="20"/>
        <item x="2"/>
        <item x="18"/>
        <item x="9"/>
        <item x="12"/>
        <item x="16"/>
        <item x="3"/>
        <item x="17"/>
        <item x="1"/>
        <item x="7"/>
        <item h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Caption="Totale" compact="0" outline="0" showAll="0">
      <items count="19"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h="1" sd="0" x="17"/>
        <item t="default"/>
      </items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12">
        <item x="3"/>
        <item x="1"/>
        <item x="5"/>
        <item x="6"/>
        <item x="8"/>
        <item x="2"/>
        <item x="0"/>
        <item x="9"/>
        <item x="4"/>
        <item x="7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39">
    <i>
      <x/>
      <x/>
    </i>
    <i t="default">
      <x/>
    </i>
    <i>
      <x v="1"/>
      <x v="1"/>
    </i>
    <i t="default">
      <x v="1"/>
    </i>
    <i>
      <x v="2"/>
      <x v="20"/>
    </i>
    <i t="default">
      <x v="2"/>
    </i>
    <i>
      <x v="3"/>
      <x v="15"/>
    </i>
    <i r="1">
      <x v="16"/>
    </i>
    <i t="default">
      <x v="3"/>
    </i>
    <i>
      <x v="4"/>
      <x v="4"/>
    </i>
    <i r="1">
      <x v="11"/>
    </i>
    <i t="default">
      <x v="4"/>
    </i>
    <i>
      <x v="5"/>
      <x v="3"/>
    </i>
    <i t="default">
      <x v="5"/>
    </i>
    <i>
      <x v="6"/>
      <x v="5"/>
    </i>
    <i t="default">
      <x v="6"/>
    </i>
    <i>
      <x v="7"/>
      <x v="2"/>
    </i>
    <i r="1">
      <x v="12"/>
    </i>
    <i t="default">
      <x v="7"/>
    </i>
    <i>
      <x v="8"/>
      <x v="19"/>
    </i>
    <i t="default">
      <x v="8"/>
    </i>
    <i>
      <x v="9"/>
      <x v="6"/>
    </i>
    <i t="default">
      <x v="9"/>
    </i>
    <i>
      <x v="10"/>
      <x v="14"/>
    </i>
    <i t="default">
      <x v="10"/>
    </i>
    <i>
      <x v="11"/>
      <x v="7"/>
    </i>
    <i t="default">
      <x v="11"/>
    </i>
    <i>
      <x v="12"/>
      <x v="8"/>
    </i>
    <i t="default">
      <x v="12"/>
    </i>
    <i>
      <x v="13"/>
      <x v="17"/>
    </i>
    <i t="default">
      <x v="13"/>
    </i>
    <i>
      <x v="14"/>
      <x v="18"/>
    </i>
    <i t="default">
      <x v="14"/>
    </i>
    <i>
      <x v="15"/>
      <x v="9"/>
    </i>
    <i t="default">
      <x v="15"/>
    </i>
    <i>
      <x v="16"/>
      <x v="10"/>
    </i>
    <i r="1">
      <x v="13"/>
    </i>
    <i t="default">
      <x v="16"/>
    </i>
    <i t="grand">
      <x/>
    </i>
  </rowItems>
  <colItems count="1">
    <i/>
  </colItems>
  <dataFields count="1">
    <dataField name="Num of trades" fld="4" baseField="2" baseItem="0"/>
  </dataFields>
  <formats count="59">
    <format dxfId="118">
      <pivotArea field="2" type="button" dataOnly="0" labelOnly="1" outline="0" axis="axisRow" fieldPosition="0"/>
    </format>
    <format dxfId="117">
      <pivotArea dataOnly="0" labelOnly="1" outline="0" axis="axisValues" fieldPosition="0"/>
    </format>
    <format dxfId="116">
      <pivotArea field="2" type="button" dataOnly="0" labelOnly="1" outline="0" axis="axisRow" fieldPosition="0"/>
    </format>
    <format dxfId="115">
      <pivotArea dataOnly="0" labelOnly="1" outline="0" axis="axisValues" fieldPosition="0"/>
    </format>
    <format dxfId="114">
      <pivotArea field="2" type="button" dataOnly="0" labelOnly="1" outline="0" axis="axisRow" fieldPosition="0"/>
    </format>
    <format dxfId="113">
      <pivotArea dataOnly="0" labelOnly="1" outline="0" axis="axisValues" fieldPosition="0"/>
    </format>
    <format dxfId="112">
      <pivotArea outline="0" collapsedLevelsAreSubtotals="1" fieldPosition="0"/>
    </format>
    <format dxfId="111">
      <pivotArea dataOnly="0" labelOnly="1" grandRow="1" outline="0" fieldPosition="0"/>
    </format>
    <format dxfId="110">
      <pivotArea field="2" type="button" dataOnly="0" labelOnly="1" outline="0" axis="axisRow" fieldPosition="0"/>
    </format>
    <format dxfId="109">
      <pivotArea dataOnly="0" labelOnly="1" outline="0" axis="axisValues" fieldPosition="0"/>
    </format>
    <format dxfId="1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field="1" type="button" dataOnly="0" labelOnly="1" outline="0" axis="axisRow" fieldPosition="1"/>
    </format>
    <format dxfId="96">
      <pivotArea outline="0" fieldPosition="0">
        <references count="1">
          <reference field="2" count="0" selected="0" defaultSubtotal="1"/>
        </references>
      </pivotArea>
    </format>
    <format dxfId="95">
      <pivotArea dataOnly="0" labelOnly="1" outline="0" fieldPosition="0">
        <references count="1">
          <reference field="2" count="0"/>
        </references>
      </pivotArea>
    </format>
    <format dxfId="94">
      <pivotArea dataOnly="0" labelOnly="1" outline="0" fieldPosition="0">
        <references count="1">
          <reference field="2" count="0" defaultSubtotal="1"/>
        </references>
      </pivotArea>
    </format>
    <format dxfId="93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92">
      <pivotArea dataOnly="0" labelOnly="1" outline="0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91">
      <pivotArea dataOnly="0" labelOnly="1" outline="0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90">
      <pivotArea dataOnly="0" labelOnly="1" outline="0" fieldPosition="0">
        <references count="2">
          <reference field="1" count="2">
            <x v="15"/>
            <x v="16"/>
          </reference>
          <reference field="2" count="1" selected="0">
            <x v="3"/>
          </reference>
        </references>
      </pivotArea>
    </format>
    <format dxfId="89">
      <pivotArea dataOnly="0" labelOnly="1" outline="0" fieldPosition="0">
        <references count="2">
          <reference field="1" count="2">
            <x v="4"/>
            <x v="11"/>
          </reference>
          <reference field="2" count="1" selected="0">
            <x v="4"/>
          </reference>
        </references>
      </pivotArea>
    </format>
    <format dxfId="88">
      <pivotArea dataOnly="0" labelOnly="1" outline="0" fieldPosition="0">
        <references count="2">
          <reference field="1" count="1">
            <x v="3"/>
          </reference>
          <reference field="2" count="1" selected="0">
            <x v="5"/>
          </reference>
        </references>
      </pivotArea>
    </format>
    <format dxfId="87">
      <pivotArea dataOnly="0" labelOnly="1" outline="0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86">
      <pivotArea dataOnly="0" labelOnly="1" outline="0" fieldPosition="0">
        <references count="2">
          <reference field="1" count="2">
            <x v="2"/>
            <x v="12"/>
          </reference>
          <reference field="2" count="1" selected="0">
            <x v="7"/>
          </reference>
        </references>
      </pivotArea>
    </format>
    <format dxfId="85">
      <pivotArea dataOnly="0" labelOnly="1" outline="0" fieldPosition="0">
        <references count="2">
          <reference field="1" count="1">
            <x v="19"/>
          </reference>
          <reference field="2" count="1" selected="0">
            <x v="8"/>
          </reference>
        </references>
      </pivotArea>
    </format>
    <format dxfId="84">
      <pivotArea dataOnly="0" labelOnly="1" outline="0" fieldPosition="0">
        <references count="2">
          <reference field="1" count="1">
            <x v="6"/>
          </reference>
          <reference field="2" count="1" selected="0">
            <x v="9"/>
          </reference>
        </references>
      </pivotArea>
    </format>
    <format dxfId="83">
      <pivotArea dataOnly="0" labelOnly="1" outline="0" fieldPosition="0">
        <references count="2">
          <reference field="1" count="1">
            <x v="14"/>
          </reference>
          <reference field="2" count="1" selected="0">
            <x v="10"/>
          </reference>
        </references>
      </pivotArea>
    </format>
    <format dxfId="82">
      <pivotArea dataOnly="0" labelOnly="1" outline="0" fieldPosition="0">
        <references count="2">
          <reference field="1" count="1">
            <x v="7"/>
          </reference>
          <reference field="2" count="1" selected="0">
            <x v="11"/>
          </reference>
        </references>
      </pivotArea>
    </format>
    <format dxfId="81">
      <pivotArea dataOnly="0" labelOnly="1" outline="0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80">
      <pivotArea dataOnly="0" labelOnly="1" outline="0" fieldPosition="0">
        <references count="2">
          <reference field="1" count="1">
            <x v="17"/>
          </reference>
          <reference field="2" count="1" selected="0">
            <x v="13"/>
          </reference>
        </references>
      </pivotArea>
    </format>
    <format dxfId="79">
      <pivotArea dataOnly="0" labelOnly="1" outline="0" fieldPosition="0">
        <references count="2">
          <reference field="1" count="1">
            <x v="18"/>
          </reference>
          <reference field="2" count="1" selected="0">
            <x v="14"/>
          </reference>
        </references>
      </pivotArea>
    </format>
    <format dxfId="78">
      <pivotArea dataOnly="0" labelOnly="1" outline="0" fieldPosition="0">
        <references count="2">
          <reference field="1" count="1">
            <x v="9"/>
          </reference>
          <reference field="2" count="1" selected="0">
            <x v="15"/>
          </reference>
        </references>
      </pivotArea>
    </format>
    <format dxfId="77">
      <pivotArea dataOnly="0" labelOnly="1" outline="0" fieldPosition="0">
        <references count="2">
          <reference field="1" count="2">
            <x v="10"/>
            <x v="13"/>
          </reference>
          <reference field="2" count="1" selected="0">
            <x v="16"/>
          </reference>
        </references>
      </pivotArea>
    </format>
    <format dxfId="76">
      <pivotArea field="2" type="button" dataOnly="0" labelOnly="1" outline="0" axis="axisRow" fieldPosition="0"/>
    </format>
    <format dxfId="75">
      <pivotArea field="1" type="button" dataOnly="0" labelOnly="1" outline="0" axis="axisRow" fieldPosition="1"/>
    </format>
    <format dxfId="74">
      <pivotArea dataOnly="0" labelOnly="1" outline="0" axis="axisValues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2" count="0"/>
        </references>
      </pivotArea>
    </format>
    <format dxfId="71">
      <pivotArea dataOnly="0" labelOnly="1" outline="0" fieldPosition="0">
        <references count="1">
          <reference field="2" count="0" defaultSubtotal="1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66">
      <pivotArea dataOnly="0" labelOnly="1" outline="0" fieldPosition="0">
        <references count="2">
          <reference field="1" count="2">
            <x v="15"/>
            <x v="16"/>
          </reference>
          <reference field="2" count="1" selected="0">
            <x v="3"/>
          </reference>
        </references>
      </pivotArea>
    </format>
    <format dxfId="65">
      <pivotArea dataOnly="0" labelOnly="1" outline="0" fieldPosition="0">
        <references count="2">
          <reference field="1" count="2">
            <x v="4"/>
            <x v="11"/>
          </reference>
          <reference field="2" count="1" selected="0">
            <x v="4"/>
          </reference>
        </references>
      </pivotArea>
    </format>
    <format dxfId="64">
      <pivotArea dataOnly="0" labelOnly="1" outline="0" fieldPosition="0">
        <references count="2">
          <reference field="1" count="1">
            <x v="3"/>
          </reference>
          <reference field="2" count="1" selected="0">
            <x v="5"/>
          </reference>
        </references>
      </pivotArea>
    </format>
    <format dxfId="63">
      <pivotArea dataOnly="0" labelOnly="1" outline="0" fieldPosition="0">
        <references count="2">
          <reference field="1" count="1">
            <x v="5"/>
          </reference>
          <reference field="2" count="1" selected="0">
            <x v="6"/>
          </reference>
        </references>
      </pivotArea>
    </format>
    <format dxfId="62">
      <pivotArea dataOnly="0" labelOnly="1" outline="0" fieldPosition="0">
        <references count="2">
          <reference field="1" count="2">
            <x v="2"/>
            <x v="12"/>
          </reference>
          <reference field="2" count="1" selected="0">
            <x v="7"/>
          </reference>
        </references>
      </pivotArea>
    </format>
    <format dxfId="61">
      <pivotArea dataOnly="0" labelOnly="1" outline="0" fieldPosition="0">
        <references count="2">
          <reference field="1" count="1">
            <x v="19"/>
          </reference>
          <reference field="2" count="1" selected="0">
            <x v="8"/>
          </reference>
        </references>
      </pivotArea>
    </format>
    <format dxfId="60">
      <pivotArea dataOnly="0" labelOnly="1" outline="0" fieldPosition="0">
        <references count="2">
          <reference field="1" count="1">
            <x v="6"/>
          </reference>
          <reference field="2" count="1" selected="0">
            <x v="9"/>
          </reference>
        </references>
      </pivotArea>
    </format>
    <format dxfId="59">
      <pivotArea dataOnly="0" labelOnly="1" outline="0" fieldPosition="0">
        <references count="2">
          <reference field="1" count="1">
            <x v="14"/>
          </reference>
          <reference field="2" count="1" selected="0">
            <x v="10"/>
          </reference>
        </references>
      </pivotArea>
    </format>
    <format dxfId="58">
      <pivotArea dataOnly="0" labelOnly="1" outline="0" fieldPosition="0">
        <references count="2">
          <reference field="1" count="1">
            <x v="7"/>
          </reference>
          <reference field="2" count="1" selected="0">
            <x v="11"/>
          </reference>
        </references>
      </pivotArea>
    </format>
    <format dxfId="57">
      <pivotArea dataOnly="0" labelOnly="1" outline="0" fieldPosition="0">
        <references count="2">
          <reference field="1" count="1">
            <x v="8"/>
          </reference>
          <reference field="2" count="1" selected="0">
            <x v="12"/>
          </reference>
        </references>
      </pivotArea>
    </format>
    <format dxfId="56">
      <pivotArea dataOnly="0" labelOnly="1" outline="0" fieldPosition="0">
        <references count="2">
          <reference field="1" count="1">
            <x v="17"/>
          </reference>
          <reference field="2" count="1" selected="0">
            <x v="13"/>
          </reference>
        </references>
      </pivotArea>
    </format>
    <format dxfId="55">
      <pivotArea dataOnly="0" labelOnly="1" outline="0" fieldPosition="0">
        <references count="2">
          <reference field="1" count="1">
            <x v="18"/>
          </reference>
          <reference field="2" count="1" selected="0">
            <x v="14"/>
          </reference>
        </references>
      </pivotArea>
    </format>
    <format dxfId="54">
      <pivotArea dataOnly="0" labelOnly="1" outline="0" fieldPosition="0">
        <references count="2">
          <reference field="1" count="1">
            <x v="9"/>
          </reference>
          <reference field="2" count="1" selected="0">
            <x v="15"/>
          </reference>
        </references>
      </pivotArea>
    </format>
    <format dxfId="53">
      <pivotArea dataOnly="0" labelOnly="1" outline="0" fieldPosition="0">
        <references count="2">
          <reference field="1" count="2">
            <x v="10"/>
            <x v="13"/>
          </reference>
          <reference field="2" count="1" selected="0">
            <x v="16"/>
          </reference>
        </references>
      </pivotArea>
    </format>
    <format dxfId="52">
      <pivotArea field="2" type="button" dataOnly="0" labelOnly="1" outline="0" axis="axisRow" fieldPosition="0"/>
    </format>
    <format dxfId="51">
      <pivotArea field="1" type="button" dataOnly="0" labelOnly="1" outline="0" axis="axisRow" fieldPosition="1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24AA7-E88B-4705-9E8F-FE23D3378F87}" name="Tabella pivot11" cacheId="0" applyNumberFormats="0" applyBorderFormats="0" applyFontFormats="0" applyPatternFormats="0" applyAlignmentFormats="0" applyWidthHeightFormats="1" dataCaption="Valori" grandTotalCaption="Total" missingCaption="0" updatedVersion="8" minRefreshableVersion="3" useAutoFormatting="1" itemPrintTitles="1" createdVersion="8" indent="0" outline="1" outlineData="1" multipleFieldFilters="0" rowHeaderCaption="Region" colHeaderCaption="Quantity">
  <location ref="A1:L20" firstHeaderRow="1" firstDataRow="2" firstDataCol="1"/>
  <pivotFields count="10">
    <pivotField dataField="1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axis="axisRow" showAll="0">
      <items count="19">
        <item x="16"/>
        <item x="13"/>
        <item x="6"/>
        <item x="11"/>
        <item x="3"/>
        <item x="7"/>
        <item x="10"/>
        <item x="0"/>
        <item x="1"/>
        <item x="9"/>
        <item x="8"/>
        <item x="5"/>
        <item x="4"/>
        <item x="2"/>
        <item x="15"/>
        <item x="12"/>
        <item x="14"/>
        <item h="1" x="17"/>
        <item t="default"/>
      </items>
    </pivotField>
    <pivotField showAll="0"/>
    <pivotField axis="axisCol" showAll="0">
      <items count="12">
        <item x="3"/>
        <item x="1"/>
        <item x="5"/>
        <item x="6"/>
        <item x="8"/>
        <item x="2"/>
        <item x="0"/>
        <item x="9"/>
        <item x="4"/>
        <item x="7"/>
        <item h="1" x="10"/>
        <item t="default"/>
      </items>
    </pivotField>
    <pivotField showAll="0">
      <items count="202">
        <item x="22"/>
        <item x="91"/>
        <item x="183"/>
        <item x="71"/>
        <item x="56"/>
        <item x="54"/>
        <item x="85"/>
        <item x="128"/>
        <item x="69"/>
        <item x="42"/>
        <item x="31"/>
        <item x="129"/>
        <item x="164"/>
        <item x="124"/>
        <item x="145"/>
        <item x="165"/>
        <item x="45"/>
        <item x="184"/>
        <item x="48"/>
        <item x="166"/>
        <item x="107"/>
        <item x="137"/>
        <item x="30"/>
        <item x="143"/>
        <item x="6"/>
        <item x="118"/>
        <item x="82"/>
        <item x="154"/>
        <item x="142"/>
        <item x="83"/>
        <item x="180"/>
        <item x="80"/>
        <item x="52"/>
        <item x="7"/>
        <item x="70"/>
        <item x="182"/>
        <item x="28"/>
        <item x="155"/>
        <item x="73"/>
        <item x="108"/>
        <item x="102"/>
        <item x="89"/>
        <item x="53"/>
        <item x="98"/>
        <item x="186"/>
        <item x="112"/>
        <item x="41"/>
        <item x="97"/>
        <item x="32"/>
        <item x="17"/>
        <item x="189"/>
        <item x="196"/>
        <item x="9"/>
        <item x="92"/>
        <item x="171"/>
        <item x="192"/>
        <item x="74"/>
        <item x="88"/>
        <item x="149"/>
        <item x="27"/>
        <item x="55"/>
        <item x="188"/>
        <item x="159"/>
        <item x="156"/>
        <item x="0"/>
        <item x="179"/>
        <item x="130"/>
        <item x="153"/>
        <item x="147"/>
        <item x="198"/>
        <item x="5"/>
        <item x="175"/>
        <item x="185"/>
        <item x="95"/>
        <item x="104"/>
        <item x="29"/>
        <item x="78"/>
        <item x="40"/>
        <item x="120"/>
        <item x="18"/>
        <item x="119"/>
        <item x="110"/>
        <item x="12"/>
        <item x="99"/>
        <item x="135"/>
        <item x="13"/>
        <item x="150"/>
        <item x="14"/>
        <item x="177"/>
        <item x="49"/>
        <item x="148"/>
        <item x="8"/>
        <item x="126"/>
        <item x="16"/>
        <item x="169"/>
        <item x="160"/>
        <item x="138"/>
        <item x="58"/>
        <item x="3"/>
        <item x="125"/>
        <item x="157"/>
        <item x="121"/>
        <item x="114"/>
        <item x="134"/>
        <item x="162"/>
        <item x="168"/>
        <item x="193"/>
        <item x="64"/>
        <item x="197"/>
        <item x="76"/>
        <item x="115"/>
        <item x="50"/>
        <item x="132"/>
        <item x="4"/>
        <item x="96"/>
        <item x="139"/>
        <item x="140"/>
        <item x="194"/>
        <item x="144"/>
        <item x="66"/>
        <item x="151"/>
        <item x="84"/>
        <item x="61"/>
        <item x="170"/>
        <item x="106"/>
        <item x="105"/>
        <item x="11"/>
        <item x="1"/>
        <item x="190"/>
        <item x="79"/>
        <item x="68"/>
        <item x="152"/>
        <item x="19"/>
        <item x="34"/>
        <item x="65"/>
        <item x="63"/>
        <item x="101"/>
        <item x="93"/>
        <item x="113"/>
        <item x="47"/>
        <item x="23"/>
        <item x="39"/>
        <item x="136"/>
        <item x="44"/>
        <item x="122"/>
        <item x="75"/>
        <item x="43"/>
        <item x="146"/>
        <item x="57"/>
        <item x="33"/>
        <item x="141"/>
        <item x="15"/>
        <item x="60"/>
        <item x="131"/>
        <item x="161"/>
        <item x="81"/>
        <item x="133"/>
        <item x="103"/>
        <item x="59"/>
        <item x="181"/>
        <item x="176"/>
        <item x="86"/>
        <item x="10"/>
        <item x="35"/>
        <item x="26"/>
        <item x="72"/>
        <item x="195"/>
        <item x="51"/>
        <item x="187"/>
        <item x="87"/>
        <item x="24"/>
        <item x="21"/>
        <item x="174"/>
        <item x="178"/>
        <item x="36"/>
        <item x="94"/>
        <item x="123"/>
        <item x="62"/>
        <item x="25"/>
        <item x="111"/>
        <item x="67"/>
        <item x="37"/>
        <item x="172"/>
        <item x="90"/>
        <item x="116"/>
        <item x="127"/>
        <item x="199"/>
        <item x="191"/>
        <item x="100"/>
        <item x="117"/>
        <item x="38"/>
        <item x="20"/>
        <item x="109"/>
        <item x="167"/>
        <item x="158"/>
        <item x="46"/>
        <item x="2"/>
        <item x="173"/>
        <item x="163"/>
        <item x="77"/>
        <item x="200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TradeID" fld="0" subtotal="count" baseField="0" baseItem="0"/>
  </dataFields>
  <formats count="37">
    <format dxfId="107">
      <pivotArea dataOnly="0" labelOnly="1" outline="0" axis="axisValues" fieldPosition="0"/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field="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type="origin" dataOnly="0" labelOnly="1" outline="0" fieldPosition="0"/>
    </format>
    <format dxfId="100">
      <pivotArea field="4" type="button" dataOnly="0" labelOnly="1" outline="0" axis="axisCol" fieldPosition="0"/>
    </format>
    <format dxfId="99">
      <pivotArea dataOnly="0" labelOnly="1" fieldPosition="0">
        <references count="1">
          <reference field="4" count="0"/>
        </references>
      </pivotArea>
    </format>
    <format dxfId="98">
      <pivotArea dataOnly="0" labelOnly="1" grandCol="1" outline="0" fieldPosition="0"/>
    </format>
    <format dxfId="49">
      <pivotArea outline="0" collapsedLevelsAreSubtotals="1" fieldPosition="0"/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4" count="0"/>
        </references>
      </pivotArea>
    </format>
    <format dxfId="46">
      <pivotArea dataOnly="0" labelOnly="1" grandCol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fieldPosition="0">
        <references count="1">
          <reference field="2" count="0"/>
        </references>
      </pivotArea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Col="1" outline="0" fieldPosition="0"/>
    </format>
    <format dxfId="36">
      <pivotArea dataOnly="0" labelOnly="1" grandRow="1" outline="0" fieldPosition="0"/>
    </format>
    <format dxfId="27">
      <pivotArea dataOnly="0" labelOnly="1" grandCol="1" outline="0" fieldPosition="0"/>
    </format>
    <format dxfId="25">
      <pivotArea type="origin" dataOnly="0" labelOnly="1" outline="0" fieldPosition="0"/>
    </format>
    <format dxfId="24">
      <pivotArea field="2" type="button" dataOnly="0" labelOnly="1" outline="0" axis="axisRow" fieldPosition="0"/>
    </format>
    <format dxfId="17">
      <pivotArea dataOnly="0" labelOnly="1" grandRow="1" outline="0" fieldPosition="0"/>
    </format>
    <format dxfId="11">
      <pivotArea dataOnly="0" labelOnly="1" fieldPosition="0">
        <references count="1">
          <reference field="4" count="1">
            <x v="0"/>
          </reference>
        </references>
      </pivotArea>
    </format>
    <format dxfId="9">
      <pivotArea dataOnly="0" labelOnly="1" fieldPosition="0">
        <references count="1">
          <reference field="2" count="1">
            <x v="6"/>
          </reference>
        </references>
      </pivotArea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4" count="0"/>
        </references>
      </pivotArea>
    </format>
    <format dxfId="1">
      <pivotArea field="2" grandCol="1" collapsedLevelsAreSubtotals="1" axis="axisRow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B277855-52AE-4445-A645-46BE83872E67}" autoFormatId="16" applyNumberFormats="0" applyBorderFormats="0" applyFontFormats="0" applyPatternFormats="0" applyAlignmentFormats="0" applyWidthHeightFormats="0">
  <queryTableRefresh nextId="9">
    <queryTableFields count="8">
      <queryTableField id="1" name="Trade" tableColumnId="1"/>
      <queryTableField id="2" name="Stock exchange" tableColumnId="2"/>
      <queryTableField id="3" name="Region" tableColumnId="3"/>
      <queryTableField id="4" name="Date added" tableColumnId="4"/>
      <queryTableField id="5" name="Quantity" tableColumnId="5"/>
      <queryTableField id="6" name="Buy Price" tableColumnId="6"/>
      <queryTableField id="7" name="Date sold" tableColumnId="7"/>
      <queryTableField id="8" name="Sell Pri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C46CF-B3FF-4113-8D83-15AACC852BA7}" name="My_trades" displayName="My_trades" ref="A1:H204" tableType="queryTable" headerRowDxfId="125" headerRowBorderDxfId="124">
  <autoFilter ref="A1:H204" xr:uid="{391C46CF-B3FF-4113-8D83-15AACC852BA7}"/>
  <tableColumns count="8">
    <tableColumn id="1" xr3:uid="{95640427-5221-4A5F-AC8A-4D8F26552A20}" uniqueName="1" name="TradeID" totalsRowLabel="Totale" queryTableFieldId="1" dataDxfId="123"/>
    <tableColumn id="2" xr3:uid="{F3BFF404-AFB4-4E55-ACA3-86A4BEA839A3}" uniqueName="2" name="Stock exchange" queryTableFieldId="2" dataDxfId="122"/>
    <tableColumn id="3" xr3:uid="{9145A6F0-61E0-49B1-9888-CCA590478311}" uniqueName="3" name="Region" queryTableFieldId="3" dataDxfId="121"/>
    <tableColumn id="4" xr3:uid="{9328E7FF-0E47-4042-89F4-0DC20A5434C7}" uniqueName="4" name="Date added" queryTableFieldId="4" dataDxfId="120"/>
    <tableColumn id="5" xr3:uid="{24EA36CA-B9E3-4051-9768-EDF09173779C}" uniqueName="5" name="Quantity" queryTableFieldId="5"/>
    <tableColumn id="6" xr3:uid="{17EF30BD-DB33-4FB0-9BAD-6B90A12EE89A}" uniqueName="6" name="Buy Price" queryTableFieldId="6"/>
    <tableColumn id="7" xr3:uid="{76EEEA0E-BC41-48B4-91A0-752292DF06B3}" uniqueName="7" name="Date sold" queryTableFieldId="7" dataDxfId="119"/>
    <tableColumn id="8" xr3:uid="{CE6EA17C-FD96-4B6B-AE9B-1A9B7F8193FA}" uniqueName="8" name="Sell Price" totalsRowFunction="sum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3FC8-8B94-471B-A423-04E225490E9A}">
  <sheetPr>
    <tabColor theme="4" tint="-0.249977111117893"/>
  </sheetPr>
  <dimension ref="A1:H204"/>
  <sheetViews>
    <sheetView showGridLines="0" zoomScaleNormal="100" workbookViewId="0">
      <selection activeCell="G5" sqref="G5"/>
    </sheetView>
  </sheetViews>
  <sheetFormatPr defaultRowHeight="14.4" x14ac:dyDescent="0.3"/>
  <cols>
    <col min="1" max="1" width="14.6640625" bestFit="1" customWidth="1"/>
    <col min="2" max="2" width="30.88671875" bestFit="1" customWidth="1"/>
    <col min="3" max="3" width="14" bestFit="1" customWidth="1"/>
    <col min="4" max="4" width="18" bestFit="1" customWidth="1"/>
    <col min="5" max="5" width="14.77734375" bestFit="1" customWidth="1"/>
    <col min="6" max="6" width="15.5546875" bestFit="1" customWidth="1"/>
    <col min="7" max="8" width="15.6640625" bestFit="1" customWidth="1"/>
  </cols>
  <sheetData>
    <row r="1" spans="1:8" ht="31.8" customHeight="1" thickTop="1" thickBot="1" x14ac:dyDescent="0.35">
      <c r="A1" s="52" t="s">
        <v>245</v>
      </c>
      <c r="B1" s="52" t="s">
        <v>0</v>
      </c>
      <c r="C1" s="52" t="s">
        <v>1</v>
      </c>
      <c r="D1" s="52" t="s">
        <v>2</v>
      </c>
      <c r="E1" s="52" t="s">
        <v>3</v>
      </c>
      <c r="F1" s="52" t="s">
        <v>4</v>
      </c>
      <c r="G1" s="52" t="s">
        <v>5</v>
      </c>
      <c r="H1" s="52" t="s">
        <v>6</v>
      </c>
    </row>
    <row r="2" spans="1:8" ht="24.6" customHeight="1" thickTop="1" x14ac:dyDescent="0.3">
      <c r="A2" s="53" t="s">
        <v>7</v>
      </c>
      <c r="B2" s="53" t="s">
        <v>8</v>
      </c>
      <c r="C2" s="53" t="s">
        <v>9</v>
      </c>
      <c r="D2" s="54">
        <v>44841</v>
      </c>
      <c r="E2" s="53">
        <v>7</v>
      </c>
      <c r="F2" s="53">
        <v>0.28318547112501802</v>
      </c>
      <c r="G2" s="54">
        <v>45092</v>
      </c>
      <c r="H2" s="53">
        <v>0.557129814707503</v>
      </c>
    </row>
    <row r="3" spans="1:8" ht="24.6" customHeight="1" x14ac:dyDescent="0.3">
      <c r="A3" s="55" t="s">
        <v>10</v>
      </c>
      <c r="B3" s="55" t="s">
        <v>11</v>
      </c>
      <c r="C3" s="55" t="s">
        <v>12</v>
      </c>
      <c r="D3" s="56">
        <v>44200</v>
      </c>
      <c r="E3" s="55">
        <v>2</v>
      </c>
      <c r="F3" s="55">
        <v>0.64142747007026002</v>
      </c>
      <c r="G3" s="56">
        <v>45039</v>
      </c>
      <c r="H3" s="55">
        <v>0.88983597888511301</v>
      </c>
    </row>
    <row r="4" spans="1:8" ht="24.6" customHeight="1" x14ac:dyDescent="0.3">
      <c r="A4" s="55" t="s">
        <v>13</v>
      </c>
      <c r="B4" s="55" t="s">
        <v>14</v>
      </c>
      <c r="C4" s="55" t="s">
        <v>9</v>
      </c>
      <c r="D4" s="56">
        <v>44519</v>
      </c>
      <c r="E4" s="55">
        <v>6</v>
      </c>
      <c r="F4" s="55">
        <v>0.98092817996517101</v>
      </c>
      <c r="G4" s="56">
        <v>44968</v>
      </c>
      <c r="H4" s="55">
        <v>0.72256312699759195</v>
      </c>
    </row>
    <row r="5" spans="1:8" ht="24.6" customHeight="1" x14ac:dyDescent="0.3">
      <c r="A5" s="55" t="s">
        <v>15</v>
      </c>
      <c r="B5" s="55" t="s">
        <v>16</v>
      </c>
      <c r="C5" s="55" t="s">
        <v>17</v>
      </c>
      <c r="D5" s="56">
        <v>44664</v>
      </c>
      <c r="E5" s="55">
        <v>1</v>
      </c>
      <c r="F5" s="55">
        <v>0.46027529609517198</v>
      </c>
      <c r="G5" s="56">
        <v>44971</v>
      </c>
      <c r="H5" s="55">
        <v>0.82793169583258497</v>
      </c>
    </row>
    <row r="6" spans="1:8" ht="24.6" customHeight="1" x14ac:dyDescent="0.3">
      <c r="A6" s="55" t="s">
        <v>18</v>
      </c>
      <c r="B6" s="55" t="s">
        <v>8</v>
      </c>
      <c r="C6" s="55" t="s">
        <v>9</v>
      </c>
      <c r="D6" s="56">
        <v>44351</v>
      </c>
      <c r="E6" s="55">
        <v>9</v>
      </c>
      <c r="F6" s="55">
        <v>0.55179844990216698</v>
      </c>
      <c r="G6" s="56">
        <v>44977</v>
      </c>
      <c r="H6" s="55">
        <v>0.19789786446941801</v>
      </c>
    </row>
    <row r="7" spans="1:8" ht="24.6" customHeight="1" x14ac:dyDescent="0.3">
      <c r="A7" s="55" t="s">
        <v>19</v>
      </c>
      <c r="B7" s="55" t="s">
        <v>20</v>
      </c>
      <c r="C7" s="55" t="s">
        <v>21</v>
      </c>
      <c r="D7" s="56">
        <v>44529</v>
      </c>
      <c r="E7" s="55">
        <v>1</v>
      </c>
      <c r="F7" s="55">
        <v>0.30386848867018701</v>
      </c>
      <c r="G7" s="56">
        <v>44969</v>
      </c>
      <c r="H7" s="55">
        <v>0.97814412656590199</v>
      </c>
    </row>
    <row r="8" spans="1:8" ht="24.6" customHeight="1" x14ac:dyDescent="0.3">
      <c r="A8" s="55" t="s">
        <v>22</v>
      </c>
      <c r="B8" s="55" t="s">
        <v>23</v>
      </c>
      <c r="C8" s="55" t="s">
        <v>24</v>
      </c>
      <c r="D8" s="56">
        <v>44500</v>
      </c>
      <c r="E8" s="55">
        <v>3</v>
      </c>
      <c r="F8" s="55">
        <v>0.100945559071712</v>
      </c>
      <c r="G8" s="56">
        <v>44930</v>
      </c>
      <c r="H8" s="55">
        <v>0.407405377776074</v>
      </c>
    </row>
    <row r="9" spans="1:8" ht="24.6" customHeight="1" x14ac:dyDescent="0.3">
      <c r="A9" s="55" t="s">
        <v>25</v>
      </c>
      <c r="B9" s="55" t="s">
        <v>26</v>
      </c>
      <c r="C9" s="55" t="s">
        <v>27</v>
      </c>
      <c r="D9" s="56">
        <v>44584</v>
      </c>
      <c r="E9" s="55">
        <v>4</v>
      </c>
      <c r="F9" s="55">
        <v>0.13652069785058399</v>
      </c>
      <c r="G9" s="56">
        <v>44991</v>
      </c>
      <c r="H9" s="55">
        <v>0.38969057106772598</v>
      </c>
    </row>
    <row r="10" spans="1:8" ht="24.6" customHeight="1" x14ac:dyDescent="0.3">
      <c r="A10" s="55" t="s">
        <v>28</v>
      </c>
      <c r="B10" s="55" t="s">
        <v>29</v>
      </c>
      <c r="C10" s="55" t="s">
        <v>30</v>
      </c>
      <c r="D10" s="56">
        <v>44472</v>
      </c>
      <c r="E10" s="55">
        <v>10</v>
      </c>
      <c r="F10" s="55">
        <v>0.41670439236003598</v>
      </c>
      <c r="G10" s="56">
        <v>45045</v>
      </c>
      <c r="H10" s="55">
        <v>0.54934508287877304</v>
      </c>
    </row>
    <row r="11" spans="1:8" ht="24.6" customHeight="1" x14ac:dyDescent="0.3">
      <c r="A11" s="55" t="s">
        <v>31</v>
      </c>
      <c r="B11" s="55" t="s">
        <v>20</v>
      </c>
      <c r="C11" s="55" t="s">
        <v>21</v>
      </c>
      <c r="D11" s="56">
        <v>44587</v>
      </c>
      <c r="E11" s="55">
        <v>6</v>
      </c>
      <c r="F11" s="55">
        <v>0.24316986891245501</v>
      </c>
      <c r="G11" s="56">
        <v>44987</v>
      </c>
      <c r="H11" s="55">
        <v>0.420232824731951</v>
      </c>
    </row>
    <row r="12" spans="1:8" ht="24.6" customHeight="1" x14ac:dyDescent="0.3">
      <c r="A12" s="55" t="s">
        <v>32</v>
      </c>
      <c r="B12" s="55" t="s">
        <v>33</v>
      </c>
      <c r="C12" s="55" t="s">
        <v>34</v>
      </c>
      <c r="D12" s="56">
        <v>44407</v>
      </c>
      <c r="E12" s="55">
        <v>5</v>
      </c>
      <c r="F12" s="55">
        <v>0.80079383386161695</v>
      </c>
      <c r="G12" s="56">
        <v>44996</v>
      </c>
      <c r="H12" s="55">
        <v>0.89666229529100405</v>
      </c>
    </row>
    <row r="13" spans="1:8" ht="24.6" customHeight="1" x14ac:dyDescent="0.3">
      <c r="A13" s="55" t="s">
        <v>35</v>
      </c>
      <c r="B13" s="55" t="s">
        <v>8</v>
      </c>
      <c r="C13" s="55" t="s">
        <v>9</v>
      </c>
      <c r="D13" s="56">
        <v>44543</v>
      </c>
      <c r="E13" s="55">
        <v>10</v>
      </c>
      <c r="F13" s="55">
        <v>0.638981266676107</v>
      </c>
      <c r="G13" s="56">
        <v>45031</v>
      </c>
      <c r="H13" s="55">
        <v>0.77496721699985804</v>
      </c>
    </row>
    <row r="14" spans="1:8" ht="24.6" customHeight="1" x14ac:dyDescent="0.3">
      <c r="A14" s="55" t="s">
        <v>36</v>
      </c>
      <c r="B14" s="55" t="s">
        <v>8</v>
      </c>
      <c r="C14" s="55" t="s">
        <v>9</v>
      </c>
      <c r="D14" s="56">
        <v>44925</v>
      </c>
      <c r="E14" s="55">
        <v>8</v>
      </c>
      <c r="F14" s="55">
        <v>0.34625418958602699</v>
      </c>
      <c r="G14" s="56">
        <v>45034</v>
      </c>
      <c r="H14" s="55">
        <v>0.71065052633396197</v>
      </c>
    </row>
    <row r="15" spans="1:8" ht="24.6" customHeight="1" x14ac:dyDescent="0.3">
      <c r="A15" s="55" t="s">
        <v>37</v>
      </c>
      <c r="B15" s="55" t="s">
        <v>38</v>
      </c>
      <c r="C15" s="55" t="s">
        <v>39</v>
      </c>
      <c r="D15" s="56">
        <v>44355</v>
      </c>
      <c r="E15" s="55">
        <v>6</v>
      </c>
      <c r="F15" s="55">
        <v>0.36584758654187899</v>
      </c>
      <c r="G15" s="56">
        <v>45023</v>
      </c>
      <c r="H15" s="55">
        <v>0.45311698845143</v>
      </c>
    </row>
    <row r="16" spans="1:8" ht="24.6" customHeight="1" x14ac:dyDescent="0.3">
      <c r="A16" s="55" t="s">
        <v>40</v>
      </c>
      <c r="B16" s="55" t="s">
        <v>26</v>
      </c>
      <c r="C16" s="55" t="s">
        <v>27</v>
      </c>
      <c r="D16" s="56">
        <v>44710</v>
      </c>
      <c r="E16" s="55">
        <v>6</v>
      </c>
      <c r="F16" s="55">
        <v>0.379060395757914</v>
      </c>
      <c r="G16" s="56">
        <v>44977</v>
      </c>
      <c r="H16" s="55">
        <v>0.31616207722275602</v>
      </c>
    </row>
    <row r="17" spans="1:8" ht="24.6" customHeight="1" x14ac:dyDescent="0.3">
      <c r="A17" s="55" t="s">
        <v>41</v>
      </c>
      <c r="B17" s="55" t="s">
        <v>42</v>
      </c>
      <c r="C17" s="55" t="s">
        <v>43</v>
      </c>
      <c r="D17" s="56">
        <v>44922</v>
      </c>
      <c r="E17" s="55">
        <v>8</v>
      </c>
      <c r="F17" s="55">
        <v>0.72895214290311094</v>
      </c>
      <c r="G17" s="56">
        <v>45000</v>
      </c>
      <c r="H17" s="55">
        <v>0.22418004410534101</v>
      </c>
    </row>
    <row r="18" spans="1:8" ht="24.6" customHeight="1" x14ac:dyDescent="0.3">
      <c r="A18" s="55" t="s">
        <v>44</v>
      </c>
      <c r="B18" s="55" t="s">
        <v>45</v>
      </c>
      <c r="C18" s="55" t="s">
        <v>46</v>
      </c>
      <c r="D18" s="56">
        <v>44294</v>
      </c>
      <c r="E18" s="55">
        <v>5</v>
      </c>
      <c r="F18" s="55">
        <v>0.42202075102150899</v>
      </c>
      <c r="G18" s="56">
        <v>45056</v>
      </c>
      <c r="H18" s="55">
        <v>0.38793156543941099</v>
      </c>
    </row>
    <row r="19" spans="1:8" ht="24.6" customHeight="1" x14ac:dyDescent="0.3">
      <c r="A19" s="55" t="s">
        <v>47</v>
      </c>
      <c r="B19" s="55" t="s">
        <v>48</v>
      </c>
      <c r="C19" s="55" t="s">
        <v>49</v>
      </c>
      <c r="D19" s="56">
        <v>44341</v>
      </c>
      <c r="E19" s="55">
        <v>4</v>
      </c>
      <c r="F19" s="55">
        <v>0.221183884694959</v>
      </c>
      <c r="G19" s="56">
        <v>44964</v>
      </c>
      <c r="H19" s="55">
        <v>0.33188863151931702</v>
      </c>
    </row>
    <row r="20" spans="1:8" ht="24.6" customHeight="1" x14ac:dyDescent="0.3">
      <c r="A20" s="55" t="s">
        <v>50</v>
      </c>
      <c r="B20" s="55" t="s">
        <v>14</v>
      </c>
      <c r="C20" s="55" t="s">
        <v>9</v>
      </c>
      <c r="D20" s="56">
        <v>44205</v>
      </c>
      <c r="E20" s="55">
        <v>1</v>
      </c>
      <c r="F20" s="55">
        <v>0.33608049957319502</v>
      </c>
      <c r="G20" s="56">
        <v>45067</v>
      </c>
      <c r="H20" s="55">
        <v>0.632173644236244</v>
      </c>
    </row>
    <row r="21" spans="1:8" ht="24.6" customHeight="1" x14ac:dyDescent="0.3">
      <c r="A21" s="55" t="s">
        <v>51</v>
      </c>
      <c r="B21" s="55" t="s">
        <v>42</v>
      </c>
      <c r="C21" s="55" t="s">
        <v>43</v>
      </c>
      <c r="D21" s="56">
        <v>44385</v>
      </c>
      <c r="E21" s="55">
        <v>1</v>
      </c>
      <c r="F21" s="55">
        <v>0.66879924137456503</v>
      </c>
      <c r="G21" s="56">
        <v>45019</v>
      </c>
      <c r="H21" s="55">
        <v>0.97050369055421803</v>
      </c>
    </row>
    <row r="22" spans="1:8" ht="24.6" customHeight="1" x14ac:dyDescent="0.3">
      <c r="A22" s="55" t="s">
        <v>52</v>
      </c>
      <c r="B22" s="55" t="s">
        <v>53</v>
      </c>
      <c r="C22" s="55" t="s">
        <v>54</v>
      </c>
      <c r="D22" s="56">
        <v>44418</v>
      </c>
      <c r="E22" s="55">
        <v>1</v>
      </c>
      <c r="F22" s="55">
        <v>0.94855371414201095</v>
      </c>
      <c r="G22" s="56">
        <v>44964</v>
      </c>
      <c r="H22" s="55">
        <v>0.335795433783181</v>
      </c>
    </row>
    <row r="23" spans="1:8" ht="24.6" customHeight="1" x14ac:dyDescent="0.3">
      <c r="A23" s="55" t="s">
        <v>55</v>
      </c>
      <c r="B23" s="55" t="s">
        <v>8</v>
      </c>
      <c r="C23" s="55" t="s">
        <v>9</v>
      </c>
      <c r="D23" s="56">
        <v>44303</v>
      </c>
      <c r="E23" s="55">
        <v>9</v>
      </c>
      <c r="F23" s="55">
        <v>0.84008770787604403</v>
      </c>
      <c r="G23" s="56">
        <v>45011</v>
      </c>
      <c r="H23" s="55">
        <v>0.55247139186324401</v>
      </c>
    </row>
    <row r="24" spans="1:8" ht="24.6" customHeight="1" x14ac:dyDescent="0.3">
      <c r="A24" s="55" t="s">
        <v>56</v>
      </c>
      <c r="B24" s="55" t="s">
        <v>57</v>
      </c>
      <c r="C24" s="55" t="s">
        <v>58</v>
      </c>
      <c r="D24" s="56">
        <v>44469</v>
      </c>
      <c r="E24" s="55">
        <v>2</v>
      </c>
      <c r="F24" s="55">
        <v>2.2027610408179498E-3</v>
      </c>
      <c r="G24" s="56">
        <v>45016</v>
      </c>
      <c r="H24" s="55">
        <v>0.38274839978632802</v>
      </c>
    </row>
    <row r="25" spans="1:8" ht="24.6" customHeight="1" x14ac:dyDescent="0.3">
      <c r="A25" s="55" t="s">
        <v>59</v>
      </c>
      <c r="B25" s="55" t="s">
        <v>60</v>
      </c>
      <c r="C25" s="55" t="s">
        <v>61</v>
      </c>
      <c r="D25" s="56">
        <v>44786</v>
      </c>
      <c r="E25" s="55">
        <v>3</v>
      </c>
      <c r="F25" s="55">
        <v>0.70520735936114698</v>
      </c>
      <c r="G25" s="56">
        <v>45023</v>
      </c>
      <c r="H25" s="55">
        <v>0.85427426099032899</v>
      </c>
    </row>
    <row r="26" spans="1:8" ht="24.6" customHeight="1" x14ac:dyDescent="0.3">
      <c r="A26" s="55" t="s">
        <v>62</v>
      </c>
      <c r="B26" s="55" t="s">
        <v>29</v>
      </c>
      <c r="C26" s="55" t="s">
        <v>30</v>
      </c>
      <c r="D26" s="56">
        <v>44882</v>
      </c>
      <c r="E26" s="55">
        <v>2</v>
      </c>
      <c r="F26" s="55">
        <v>0.83894286337563995</v>
      </c>
      <c r="G26" s="56">
        <v>44933</v>
      </c>
      <c r="H26" s="55">
        <v>0.67630232908539301</v>
      </c>
    </row>
    <row r="27" spans="1:8" ht="24.6" customHeight="1" x14ac:dyDescent="0.3">
      <c r="A27" s="55" t="s">
        <v>63</v>
      </c>
      <c r="B27" s="55" t="s">
        <v>57</v>
      </c>
      <c r="C27" s="55" t="s">
        <v>58</v>
      </c>
      <c r="D27" s="56">
        <v>44725</v>
      </c>
      <c r="E27" s="55">
        <v>8</v>
      </c>
      <c r="F27" s="55">
        <v>0.87889715359181098</v>
      </c>
      <c r="G27" s="56">
        <v>44932</v>
      </c>
      <c r="H27" s="55">
        <v>0.20020556920871699</v>
      </c>
    </row>
    <row r="28" spans="1:8" ht="24.6" customHeight="1" x14ac:dyDescent="0.3">
      <c r="A28" s="55" t="s">
        <v>64</v>
      </c>
      <c r="B28" s="55" t="s">
        <v>23</v>
      </c>
      <c r="C28" s="55" t="s">
        <v>24</v>
      </c>
      <c r="D28" s="56">
        <v>44599</v>
      </c>
      <c r="E28" s="55">
        <v>7</v>
      </c>
      <c r="F28" s="55">
        <v>0.81200798012546904</v>
      </c>
      <c r="G28" s="56">
        <v>45064</v>
      </c>
      <c r="H28" s="55">
        <v>0.26150647842758601</v>
      </c>
    </row>
    <row r="29" spans="1:8" ht="24.6" customHeight="1" x14ac:dyDescent="0.3">
      <c r="A29" s="55" t="s">
        <v>65</v>
      </c>
      <c r="B29" s="55" t="s">
        <v>8</v>
      </c>
      <c r="C29" s="55" t="s">
        <v>9</v>
      </c>
      <c r="D29" s="56">
        <v>44492</v>
      </c>
      <c r="E29" s="55">
        <v>1</v>
      </c>
      <c r="F29" s="55">
        <v>0.27554760755730201</v>
      </c>
      <c r="G29" s="56">
        <v>45049</v>
      </c>
      <c r="H29" s="55">
        <v>0.19858809226913399</v>
      </c>
    </row>
    <row r="30" spans="1:8" ht="24.6" customHeight="1" x14ac:dyDescent="0.3">
      <c r="A30" s="55" t="s">
        <v>66</v>
      </c>
      <c r="B30" s="55" t="s">
        <v>8</v>
      </c>
      <c r="C30" s="55" t="s">
        <v>9</v>
      </c>
      <c r="D30" s="56">
        <v>44523</v>
      </c>
      <c r="E30" s="55">
        <v>3</v>
      </c>
      <c r="F30" s="55">
        <v>0.15183590676997499</v>
      </c>
      <c r="G30" s="56">
        <v>45036</v>
      </c>
      <c r="H30" s="55">
        <v>0.96263635120934099</v>
      </c>
    </row>
    <row r="31" spans="1:8" ht="24.6" customHeight="1" x14ac:dyDescent="0.3">
      <c r="A31" s="55" t="s">
        <v>67</v>
      </c>
      <c r="B31" s="55" t="s">
        <v>33</v>
      </c>
      <c r="C31" s="55" t="s">
        <v>34</v>
      </c>
      <c r="D31" s="56">
        <v>44281</v>
      </c>
      <c r="E31" s="55">
        <v>1</v>
      </c>
      <c r="F31" s="55">
        <v>0.31751651418006399</v>
      </c>
      <c r="G31" s="56">
        <v>44967</v>
      </c>
      <c r="H31" s="55">
        <v>0.47080505116614901</v>
      </c>
    </row>
    <row r="32" spans="1:8" ht="24.6" customHeight="1" x14ac:dyDescent="0.3">
      <c r="A32" s="55" t="s">
        <v>68</v>
      </c>
      <c r="B32" s="55" t="s">
        <v>53</v>
      </c>
      <c r="C32" s="55" t="s">
        <v>54</v>
      </c>
      <c r="D32" s="56">
        <v>44594</v>
      </c>
      <c r="E32" s="55">
        <v>7</v>
      </c>
      <c r="F32" s="55">
        <v>8.2508842921547004E-2</v>
      </c>
      <c r="G32" s="56">
        <v>44981</v>
      </c>
      <c r="H32" s="55">
        <v>0.90723039307728803</v>
      </c>
    </row>
    <row r="33" spans="1:8" ht="24.6" customHeight="1" x14ac:dyDescent="0.3">
      <c r="A33" s="55" t="s">
        <v>69</v>
      </c>
      <c r="B33" s="55" t="s">
        <v>70</v>
      </c>
      <c r="C33" s="55" t="s">
        <v>49</v>
      </c>
      <c r="D33" s="56">
        <v>44239</v>
      </c>
      <c r="E33" s="55">
        <v>9</v>
      </c>
      <c r="F33" s="55">
        <v>3.8415611438702597E-2</v>
      </c>
      <c r="G33" s="56">
        <v>45034</v>
      </c>
      <c r="H33" s="55">
        <v>0.69214535069910299</v>
      </c>
    </row>
    <row r="34" spans="1:8" ht="24.6" customHeight="1" x14ac:dyDescent="0.3">
      <c r="A34" s="55" t="s">
        <v>71</v>
      </c>
      <c r="B34" s="55" t="s">
        <v>72</v>
      </c>
      <c r="C34" s="55" t="s">
        <v>73</v>
      </c>
      <c r="D34" s="56">
        <v>44541</v>
      </c>
      <c r="E34" s="55">
        <v>9</v>
      </c>
      <c r="F34" s="55">
        <v>0.215773738787989</v>
      </c>
      <c r="G34" s="56">
        <v>45040</v>
      </c>
      <c r="H34" s="55">
        <v>0.54884364241615202</v>
      </c>
    </row>
    <row r="35" spans="1:8" ht="24.6" customHeight="1" x14ac:dyDescent="0.3">
      <c r="A35" s="55" t="s">
        <v>74</v>
      </c>
      <c r="B35" s="55" t="s">
        <v>33</v>
      </c>
      <c r="C35" s="55" t="s">
        <v>34</v>
      </c>
      <c r="D35" s="56">
        <v>44446</v>
      </c>
      <c r="E35" s="55">
        <v>5</v>
      </c>
      <c r="F35" s="55">
        <v>0.72585135876436702</v>
      </c>
      <c r="G35" s="56">
        <v>45053</v>
      </c>
      <c r="H35" s="55">
        <v>0.173994592694031</v>
      </c>
    </row>
    <row r="36" spans="1:8" ht="24.6" customHeight="1" x14ac:dyDescent="0.3">
      <c r="A36" s="55" t="s">
        <v>75</v>
      </c>
      <c r="B36" s="55" t="s">
        <v>16</v>
      </c>
      <c r="C36" s="55" t="s">
        <v>17</v>
      </c>
      <c r="D36" s="56">
        <v>44554</v>
      </c>
      <c r="E36" s="55">
        <v>8</v>
      </c>
      <c r="F36" s="55">
        <v>0.68255570090641804</v>
      </c>
      <c r="G36" s="56">
        <v>44988</v>
      </c>
      <c r="H36" s="55">
        <v>0.60454082217188998</v>
      </c>
    </row>
    <row r="37" spans="1:8" ht="24.6" customHeight="1" x14ac:dyDescent="0.3">
      <c r="A37" s="55" t="s">
        <v>76</v>
      </c>
      <c r="B37" s="55" t="s">
        <v>20</v>
      </c>
      <c r="C37" s="55" t="s">
        <v>21</v>
      </c>
      <c r="D37" s="56">
        <v>44198</v>
      </c>
      <c r="E37" s="55">
        <v>3</v>
      </c>
      <c r="F37" s="55">
        <v>0.80123839065137303</v>
      </c>
      <c r="G37" s="56">
        <v>45049</v>
      </c>
      <c r="H37" s="55">
        <v>0.30527628395158701</v>
      </c>
    </row>
    <row r="38" spans="1:8" ht="24.6" customHeight="1" x14ac:dyDescent="0.3">
      <c r="A38" s="55" t="s">
        <v>77</v>
      </c>
      <c r="B38" s="55" t="s">
        <v>72</v>
      </c>
      <c r="C38" s="55" t="s">
        <v>73</v>
      </c>
      <c r="D38" s="56">
        <v>44838</v>
      </c>
      <c r="E38" s="55">
        <v>4</v>
      </c>
      <c r="F38" s="55">
        <v>0.86036052556079601</v>
      </c>
      <c r="G38" s="56">
        <v>44968</v>
      </c>
      <c r="H38" s="55">
        <v>0.75556235613803402</v>
      </c>
    </row>
    <row r="39" spans="1:8" ht="24.6" customHeight="1" x14ac:dyDescent="0.3">
      <c r="A39" s="55" t="s">
        <v>78</v>
      </c>
      <c r="B39" s="55" t="s">
        <v>33</v>
      </c>
      <c r="C39" s="55" t="s">
        <v>34</v>
      </c>
      <c r="D39" s="56">
        <v>44503</v>
      </c>
      <c r="E39" s="55">
        <v>3</v>
      </c>
      <c r="F39" s="55">
        <v>0.89411437906362101</v>
      </c>
      <c r="G39" s="56">
        <v>44951</v>
      </c>
      <c r="H39" s="55">
        <v>0.15236785201696099</v>
      </c>
    </row>
    <row r="40" spans="1:8" ht="24.6" customHeight="1" x14ac:dyDescent="0.3">
      <c r="A40" s="55" t="s">
        <v>79</v>
      </c>
      <c r="B40" s="55" t="s">
        <v>80</v>
      </c>
      <c r="C40" s="55" t="s">
        <v>61</v>
      </c>
      <c r="D40" s="56">
        <v>44579</v>
      </c>
      <c r="E40" s="55">
        <v>10</v>
      </c>
      <c r="F40" s="55">
        <v>0.93792316902615502</v>
      </c>
      <c r="G40" s="56">
        <v>45061</v>
      </c>
      <c r="H40" s="55">
        <v>0.45551581516099299</v>
      </c>
    </row>
    <row r="41" spans="1:8" ht="24.6" customHeight="1" x14ac:dyDescent="0.3">
      <c r="A41" s="55" t="s">
        <v>81</v>
      </c>
      <c r="B41" s="55" t="s">
        <v>11</v>
      </c>
      <c r="C41" s="55" t="s">
        <v>12</v>
      </c>
      <c r="D41" s="56">
        <v>44898</v>
      </c>
      <c r="E41" s="55">
        <v>4</v>
      </c>
      <c r="F41" s="55">
        <v>0.70777097045034598</v>
      </c>
      <c r="G41" s="56">
        <v>44969</v>
      </c>
      <c r="H41" s="55">
        <v>0.29010240599643</v>
      </c>
    </row>
    <row r="42" spans="1:8" ht="24.6" customHeight="1" x14ac:dyDescent="0.3">
      <c r="A42" s="55" t="s">
        <v>82</v>
      </c>
      <c r="B42" s="55" t="s">
        <v>80</v>
      </c>
      <c r="C42" s="55" t="s">
        <v>61</v>
      </c>
      <c r="D42" s="56">
        <v>44315</v>
      </c>
      <c r="E42" s="55">
        <v>10</v>
      </c>
      <c r="F42" s="55">
        <v>0.32809052787687998</v>
      </c>
      <c r="G42" s="56">
        <v>45058</v>
      </c>
      <c r="H42" s="55">
        <v>0.53620178529362506</v>
      </c>
    </row>
    <row r="43" spans="1:8" ht="24.6" customHeight="1" x14ac:dyDescent="0.3">
      <c r="A43" s="55" t="s">
        <v>83</v>
      </c>
      <c r="B43" s="55" t="s">
        <v>11</v>
      </c>
      <c r="C43" s="55" t="s">
        <v>12</v>
      </c>
      <c r="D43" s="56">
        <v>44921</v>
      </c>
      <c r="E43" s="55">
        <v>10</v>
      </c>
      <c r="F43" s="55">
        <v>0.20148931810460499</v>
      </c>
      <c r="G43" s="56">
        <v>45027</v>
      </c>
      <c r="H43" s="55">
        <v>0.37346939187061601</v>
      </c>
    </row>
    <row r="44" spans="1:8" ht="24.6" customHeight="1" x14ac:dyDescent="0.3">
      <c r="A44" s="55" t="s">
        <v>84</v>
      </c>
      <c r="B44" s="55" t="s">
        <v>42</v>
      </c>
      <c r="C44" s="55" t="s">
        <v>43</v>
      </c>
      <c r="D44" s="56">
        <v>44708</v>
      </c>
      <c r="E44" s="55">
        <v>6</v>
      </c>
      <c r="F44" s="55">
        <v>3.5993791246495099E-2</v>
      </c>
      <c r="G44" s="56">
        <v>44985</v>
      </c>
      <c r="H44" s="55">
        <v>0.97861539568179701</v>
      </c>
    </row>
    <row r="45" spans="1:8" ht="24.6" customHeight="1" x14ac:dyDescent="0.3">
      <c r="A45" s="55" t="s">
        <v>85</v>
      </c>
      <c r="B45" s="55" t="s">
        <v>8</v>
      </c>
      <c r="C45" s="55" t="s">
        <v>9</v>
      </c>
      <c r="D45" s="56">
        <v>44795</v>
      </c>
      <c r="E45" s="55">
        <v>1</v>
      </c>
      <c r="F45" s="55">
        <v>0.71704537744139196</v>
      </c>
      <c r="G45" s="56">
        <v>45022</v>
      </c>
      <c r="H45" s="55">
        <v>0.16233553287650401</v>
      </c>
    </row>
    <row r="46" spans="1:8" ht="24.6" customHeight="1" x14ac:dyDescent="0.3">
      <c r="A46" s="55" t="s">
        <v>86</v>
      </c>
      <c r="B46" s="55" t="s">
        <v>48</v>
      </c>
      <c r="C46" s="55" t="s">
        <v>49</v>
      </c>
      <c r="D46" s="56">
        <v>44338</v>
      </c>
      <c r="E46" s="55">
        <v>9</v>
      </c>
      <c r="F46" s="55">
        <v>0.71155870482197403</v>
      </c>
      <c r="G46" s="56">
        <v>45045</v>
      </c>
      <c r="H46" s="55">
        <v>0.15390650537949099</v>
      </c>
    </row>
    <row r="47" spans="1:8" ht="24.6" customHeight="1" x14ac:dyDescent="0.3">
      <c r="A47" s="55" t="s">
        <v>87</v>
      </c>
      <c r="B47" s="55" t="s">
        <v>33</v>
      </c>
      <c r="C47" s="55" t="s">
        <v>34</v>
      </c>
      <c r="D47" s="56">
        <v>44274</v>
      </c>
      <c r="E47" s="55">
        <v>6</v>
      </c>
      <c r="F47" s="55">
        <v>6.4033223650055093E-2</v>
      </c>
      <c r="G47" s="56">
        <v>45004</v>
      </c>
      <c r="H47" s="55">
        <v>4.2104998611888203E-3</v>
      </c>
    </row>
    <row r="48" spans="1:8" ht="24.6" customHeight="1" x14ac:dyDescent="0.3">
      <c r="A48" s="55" t="s">
        <v>88</v>
      </c>
      <c r="B48" s="55" t="s">
        <v>45</v>
      </c>
      <c r="C48" s="55" t="s">
        <v>46</v>
      </c>
      <c r="D48" s="56">
        <v>44725</v>
      </c>
      <c r="E48" s="55">
        <v>7</v>
      </c>
      <c r="F48" s="55">
        <v>0.97988976578176401</v>
      </c>
      <c r="G48" s="56">
        <v>45051</v>
      </c>
      <c r="H48" s="55">
        <v>4.3763329833777703E-2</v>
      </c>
    </row>
    <row r="49" spans="1:8" ht="24.6" customHeight="1" x14ac:dyDescent="0.3">
      <c r="A49" s="55" t="s">
        <v>89</v>
      </c>
      <c r="B49" s="55" t="s">
        <v>29</v>
      </c>
      <c r="C49" s="55" t="s">
        <v>30</v>
      </c>
      <c r="D49" s="56">
        <v>44340</v>
      </c>
      <c r="E49" s="55">
        <v>10</v>
      </c>
      <c r="F49" s="55">
        <v>0.702645841021446</v>
      </c>
      <c r="G49" s="56">
        <v>44928</v>
      </c>
      <c r="H49" s="55">
        <v>0.369783832169231</v>
      </c>
    </row>
    <row r="50" spans="1:8" ht="24.6" customHeight="1" x14ac:dyDescent="0.3">
      <c r="A50" s="55" t="s">
        <v>90</v>
      </c>
      <c r="B50" s="55" t="s">
        <v>23</v>
      </c>
      <c r="C50" s="55" t="s">
        <v>24</v>
      </c>
      <c r="D50" s="56">
        <v>44502</v>
      </c>
      <c r="E50" s="55">
        <v>3</v>
      </c>
      <c r="F50" s="55">
        <v>6.7860349366877903E-2</v>
      </c>
      <c r="G50" s="56">
        <v>45026</v>
      </c>
      <c r="H50" s="55">
        <v>0.67274821533457596</v>
      </c>
    </row>
    <row r="51" spans="1:8" ht="24.6" customHeight="1" x14ac:dyDescent="0.3">
      <c r="A51" s="55" t="s">
        <v>91</v>
      </c>
      <c r="B51" s="55" t="s">
        <v>53</v>
      </c>
      <c r="C51" s="55" t="s">
        <v>54</v>
      </c>
      <c r="D51" s="56">
        <v>44560</v>
      </c>
      <c r="E51" s="55">
        <v>9</v>
      </c>
      <c r="F51" s="55">
        <v>0.407593318710052</v>
      </c>
      <c r="G51" s="56">
        <v>44988</v>
      </c>
      <c r="H51" s="55">
        <v>0.63816582309695902</v>
      </c>
    </row>
    <row r="52" spans="1:8" ht="24.6" customHeight="1" x14ac:dyDescent="0.3">
      <c r="A52" s="55" t="s">
        <v>92</v>
      </c>
      <c r="B52" s="55" t="s">
        <v>60</v>
      </c>
      <c r="C52" s="55" t="s">
        <v>61</v>
      </c>
      <c r="D52" s="56">
        <v>44361</v>
      </c>
      <c r="E52" s="55">
        <v>4</v>
      </c>
      <c r="F52" s="55">
        <v>0.52920695915069904</v>
      </c>
      <c r="G52" s="56">
        <v>44976</v>
      </c>
      <c r="H52" s="55">
        <v>0.13238552807963799</v>
      </c>
    </row>
    <row r="53" spans="1:8" ht="24.6" customHeight="1" x14ac:dyDescent="0.3">
      <c r="A53" s="55" t="s">
        <v>93</v>
      </c>
      <c r="B53" s="55" t="s">
        <v>16</v>
      </c>
      <c r="C53" s="55" t="s">
        <v>17</v>
      </c>
      <c r="D53" s="56">
        <v>44343</v>
      </c>
      <c r="E53" s="55">
        <v>1</v>
      </c>
      <c r="F53" s="55">
        <v>0.83003541427247696</v>
      </c>
      <c r="G53" s="56">
        <v>44965</v>
      </c>
      <c r="H53" s="55">
        <v>0.52621974753425005</v>
      </c>
    </row>
    <row r="54" spans="1:8" ht="24.6" customHeight="1" x14ac:dyDescent="0.3">
      <c r="A54" s="55" t="s">
        <v>94</v>
      </c>
      <c r="B54" s="55" t="s">
        <v>16</v>
      </c>
      <c r="C54" s="55" t="s">
        <v>17</v>
      </c>
      <c r="D54" s="56">
        <v>44382</v>
      </c>
      <c r="E54" s="55">
        <v>9</v>
      </c>
      <c r="F54" s="55">
        <v>0.13503720101241901</v>
      </c>
      <c r="G54" s="56">
        <v>45017</v>
      </c>
      <c r="H54" s="55">
        <v>0.85749627053317901</v>
      </c>
    </row>
    <row r="55" spans="1:8" ht="24.6" customHeight="1" x14ac:dyDescent="0.3">
      <c r="A55" s="55" t="s">
        <v>95</v>
      </c>
      <c r="B55" s="55" t="s">
        <v>53</v>
      </c>
      <c r="C55" s="55" t="s">
        <v>54</v>
      </c>
      <c r="D55" s="56">
        <v>44680</v>
      </c>
      <c r="E55" s="55">
        <v>2</v>
      </c>
      <c r="F55" s="55">
        <v>0.18457397753690899</v>
      </c>
      <c r="G55" s="56">
        <v>45004</v>
      </c>
      <c r="H55" s="55">
        <v>0.74032989684219797</v>
      </c>
    </row>
    <row r="56" spans="1:8" ht="24.6" customHeight="1" x14ac:dyDescent="0.3">
      <c r="A56" s="55" t="s">
        <v>96</v>
      </c>
      <c r="B56" s="55" t="s">
        <v>23</v>
      </c>
      <c r="C56" s="55" t="s">
        <v>24</v>
      </c>
      <c r="D56" s="56">
        <v>44816</v>
      </c>
      <c r="E56" s="55">
        <v>7</v>
      </c>
      <c r="F56" s="55">
        <v>1.4827494446379701E-2</v>
      </c>
      <c r="G56" s="56">
        <v>44978</v>
      </c>
      <c r="H56" s="55">
        <v>0.41833053891377597</v>
      </c>
    </row>
    <row r="57" spans="1:8" ht="24.6" customHeight="1" x14ac:dyDescent="0.3">
      <c r="A57" s="55" t="s">
        <v>97</v>
      </c>
      <c r="B57" s="55" t="s">
        <v>26</v>
      </c>
      <c r="C57" s="55" t="s">
        <v>27</v>
      </c>
      <c r="D57" s="56">
        <v>44278</v>
      </c>
      <c r="E57" s="55">
        <v>4</v>
      </c>
      <c r="F57" s="55">
        <v>0.27577765609607802</v>
      </c>
      <c r="G57" s="56">
        <v>45071</v>
      </c>
      <c r="H57" s="55">
        <v>0.84349820990746505</v>
      </c>
    </row>
    <row r="58" spans="1:8" ht="24.6" customHeight="1" x14ac:dyDescent="0.3">
      <c r="A58" s="55" t="s">
        <v>98</v>
      </c>
      <c r="B58" s="55" t="s">
        <v>42</v>
      </c>
      <c r="C58" s="55" t="s">
        <v>43</v>
      </c>
      <c r="D58" s="56">
        <v>44667</v>
      </c>
      <c r="E58" s="55">
        <v>2</v>
      </c>
      <c r="F58" s="55">
        <v>1.4798370860461801E-2</v>
      </c>
      <c r="G58" s="56">
        <v>45011</v>
      </c>
      <c r="H58" s="55">
        <v>0.65581817056759795</v>
      </c>
    </row>
    <row r="59" spans="1:8" ht="24.6" customHeight="1" x14ac:dyDescent="0.3">
      <c r="A59" s="55" t="s">
        <v>99</v>
      </c>
      <c r="B59" s="55" t="s">
        <v>70</v>
      </c>
      <c r="C59" s="55" t="s">
        <v>49</v>
      </c>
      <c r="D59" s="56">
        <v>44420</v>
      </c>
      <c r="E59" s="55">
        <v>4</v>
      </c>
      <c r="F59" s="55">
        <v>0.71929697815108395</v>
      </c>
      <c r="G59" s="56">
        <v>45029</v>
      </c>
      <c r="H59" s="55">
        <v>5.4091466872212501E-2</v>
      </c>
    </row>
    <row r="60" spans="1:8" ht="24.6" customHeight="1" x14ac:dyDescent="0.3">
      <c r="A60" s="55" t="s">
        <v>100</v>
      </c>
      <c r="B60" s="55" t="s">
        <v>33</v>
      </c>
      <c r="C60" s="55" t="s">
        <v>34</v>
      </c>
      <c r="D60" s="56">
        <v>44922</v>
      </c>
      <c r="E60" s="55">
        <v>6</v>
      </c>
      <c r="F60" s="55">
        <v>0.45894107528788403</v>
      </c>
      <c r="G60" s="56">
        <v>44952</v>
      </c>
      <c r="H60" s="55">
        <v>0.64879966285478297</v>
      </c>
    </row>
    <row r="61" spans="1:8" ht="24.6" customHeight="1" x14ac:dyDescent="0.3">
      <c r="A61" s="55" t="s">
        <v>101</v>
      </c>
      <c r="B61" s="55" t="s">
        <v>102</v>
      </c>
      <c r="C61" s="55" t="s">
        <v>103</v>
      </c>
      <c r="D61" s="56">
        <v>44356</v>
      </c>
      <c r="E61" s="55">
        <v>6</v>
      </c>
      <c r="F61" s="55">
        <v>0.75369284563293804</v>
      </c>
      <c r="G61" s="56">
        <v>45000</v>
      </c>
      <c r="H61" s="55">
        <v>0.95310350121023102</v>
      </c>
    </row>
    <row r="62" spans="1:8" ht="24.6" customHeight="1" x14ac:dyDescent="0.3">
      <c r="A62" s="55" t="s">
        <v>104</v>
      </c>
      <c r="B62" s="55" t="s">
        <v>38</v>
      </c>
      <c r="C62" s="55" t="s">
        <v>39</v>
      </c>
      <c r="D62" s="56">
        <v>44315</v>
      </c>
      <c r="E62" s="55">
        <v>7</v>
      </c>
      <c r="F62" s="55">
        <v>0.73835370024837998</v>
      </c>
      <c r="G62" s="56">
        <v>45020</v>
      </c>
      <c r="H62" s="55">
        <v>0.10264222958663</v>
      </c>
    </row>
    <row r="63" spans="1:8" ht="24.6" customHeight="1" x14ac:dyDescent="0.3">
      <c r="A63" s="55" t="s">
        <v>105</v>
      </c>
      <c r="B63" s="55" t="s">
        <v>11</v>
      </c>
      <c r="C63" s="55" t="s">
        <v>12</v>
      </c>
      <c r="D63" s="56">
        <v>44860</v>
      </c>
      <c r="E63" s="55">
        <v>8</v>
      </c>
      <c r="F63" s="55">
        <v>0.585256316656942</v>
      </c>
      <c r="G63" s="56">
        <v>45041</v>
      </c>
      <c r="H63" s="55">
        <v>0.63534355964006295</v>
      </c>
    </row>
    <row r="64" spans="1:8" ht="24.6" customHeight="1" x14ac:dyDescent="0.3">
      <c r="A64" s="55" t="s">
        <v>106</v>
      </c>
      <c r="B64" s="55" t="s">
        <v>57</v>
      </c>
      <c r="C64" s="55" t="s">
        <v>58</v>
      </c>
      <c r="D64" s="56">
        <v>44340</v>
      </c>
      <c r="E64" s="55">
        <v>9</v>
      </c>
      <c r="F64" s="55">
        <v>0.87646719833682096</v>
      </c>
      <c r="G64" s="56">
        <v>44957</v>
      </c>
      <c r="H64" s="55">
        <v>0.32932752883912297</v>
      </c>
    </row>
    <row r="65" spans="1:8" ht="24.6" customHeight="1" x14ac:dyDescent="0.3">
      <c r="A65" s="55" t="s">
        <v>107</v>
      </c>
      <c r="B65" s="55" t="s">
        <v>33</v>
      </c>
      <c r="C65" s="55" t="s">
        <v>34</v>
      </c>
      <c r="D65" s="56">
        <v>44773</v>
      </c>
      <c r="E65" s="55">
        <v>5</v>
      </c>
      <c r="F65" s="55">
        <v>0.68720157697523698</v>
      </c>
      <c r="G65" s="56">
        <v>45054</v>
      </c>
      <c r="H65" s="55">
        <v>0.79990973215818495</v>
      </c>
    </row>
    <row r="66" spans="1:8" ht="24.6" customHeight="1" x14ac:dyDescent="0.3">
      <c r="A66" s="55" t="s">
        <v>108</v>
      </c>
      <c r="B66" s="55" t="s">
        <v>26</v>
      </c>
      <c r="C66" s="55" t="s">
        <v>27</v>
      </c>
      <c r="D66" s="56">
        <v>44347</v>
      </c>
      <c r="E66" s="55">
        <v>1</v>
      </c>
      <c r="F66" s="55">
        <v>0.48588703608226103</v>
      </c>
      <c r="G66" s="56">
        <v>45035</v>
      </c>
      <c r="H66" s="55">
        <v>0.45518918214522902</v>
      </c>
    </row>
    <row r="67" spans="1:8" ht="24.6" customHeight="1" x14ac:dyDescent="0.3">
      <c r="A67" s="55" t="s">
        <v>109</v>
      </c>
      <c r="B67" s="55" t="s">
        <v>70</v>
      </c>
      <c r="C67" s="55" t="s">
        <v>49</v>
      </c>
      <c r="D67" s="56">
        <v>44659</v>
      </c>
      <c r="E67" s="55">
        <v>2</v>
      </c>
      <c r="F67" s="55">
        <v>0.68555193640676504</v>
      </c>
      <c r="G67" s="56">
        <v>45014</v>
      </c>
      <c r="H67" s="55">
        <v>0.40035912772023502</v>
      </c>
    </row>
    <row r="68" spans="1:8" ht="24.6" customHeight="1" x14ac:dyDescent="0.3">
      <c r="A68" s="55" t="s">
        <v>110</v>
      </c>
      <c r="B68" s="55" t="s">
        <v>57</v>
      </c>
      <c r="C68" s="55" t="s">
        <v>58</v>
      </c>
      <c r="D68" s="56">
        <v>44679</v>
      </c>
      <c r="E68" s="55">
        <v>1</v>
      </c>
      <c r="F68" s="55">
        <v>0.574831092396204</v>
      </c>
      <c r="G68" s="56">
        <v>44936</v>
      </c>
      <c r="H68" s="55">
        <v>0.14703843884491</v>
      </c>
    </row>
    <row r="69" spans="1:8" ht="24.6" customHeight="1" x14ac:dyDescent="0.3">
      <c r="A69" s="55" t="s">
        <v>111</v>
      </c>
      <c r="B69" s="55" t="s">
        <v>80</v>
      </c>
      <c r="C69" s="55" t="s">
        <v>61</v>
      </c>
      <c r="D69" s="56">
        <v>44800</v>
      </c>
      <c r="E69" s="55">
        <v>4</v>
      </c>
      <c r="F69" s="55">
        <v>0.89057060464664195</v>
      </c>
      <c r="G69" s="56">
        <v>45004</v>
      </c>
      <c r="H69" s="55">
        <v>0.24766978894018499</v>
      </c>
    </row>
    <row r="70" spans="1:8" ht="24.6" customHeight="1" x14ac:dyDescent="0.3">
      <c r="A70" s="55" t="s">
        <v>112</v>
      </c>
      <c r="B70" s="55" t="s">
        <v>8</v>
      </c>
      <c r="C70" s="55" t="s">
        <v>9</v>
      </c>
      <c r="D70" s="56">
        <v>44889</v>
      </c>
      <c r="E70" s="55">
        <v>4</v>
      </c>
      <c r="F70" s="55">
        <v>0.64606533640427699</v>
      </c>
      <c r="G70" s="56">
        <v>44977</v>
      </c>
      <c r="H70" s="55">
        <v>0.75502767909149604</v>
      </c>
    </row>
    <row r="71" spans="1:8" ht="24.6" customHeight="1" x14ac:dyDescent="0.3">
      <c r="A71" s="55" t="s">
        <v>113</v>
      </c>
      <c r="B71" s="55" t="s">
        <v>102</v>
      </c>
      <c r="C71" s="55" t="s">
        <v>103</v>
      </c>
      <c r="D71" s="56">
        <v>44574</v>
      </c>
      <c r="E71" s="55">
        <v>5</v>
      </c>
      <c r="F71" s="55">
        <v>2.4408043245797401E-2</v>
      </c>
      <c r="G71" s="56">
        <v>45041</v>
      </c>
      <c r="H71" s="55">
        <v>0.11842008103757801</v>
      </c>
    </row>
    <row r="72" spans="1:8" ht="24.6" customHeight="1" x14ac:dyDescent="0.3">
      <c r="A72" s="55" t="s">
        <v>114</v>
      </c>
      <c r="B72" s="55" t="s">
        <v>60</v>
      </c>
      <c r="C72" s="55" t="s">
        <v>61</v>
      </c>
      <c r="D72" s="56">
        <v>44752</v>
      </c>
      <c r="E72" s="55">
        <v>1</v>
      </c>
      <c r="F72" s="55">
        <v>0.144587962809021</v>
      </c>
      <c r="G72" s="56">
        <v>44974</v>
      </c>
      <c r="H72" s="55">
        <v>0.22337306376263399</v>
      </c>
    </row>
    <row r="73" spans="1:8" ht="24.6" customHeight="1" x14ac:dyDescent="0.3">
      <c r="A73" s="55" t="s">
        <v>115</v>
      </c>
      <c r="B73" s="55" t="s">
        <v>45</v>
      </c>
      <c r="C73" s="55" t="s">
        <v>46</v>
      </c>
      <c r="D73" s="56">
        <v>44786</v>
      </c>
      <c r="E73" s="55">
        <v>7</v>
      </c>
      <c r="F73" s="55">
        <v>1.31744392227479E-2</v>
      </c>
      <c r="G73" s="56">
        <v>45030</v>
      </c>
      <c r="H73" s="55">
        <v>0.97185682841004495</v>
      </c>
    </row>
    <row r="74" spans="1:8" ht="24.6" customHeight="1" x14ac:dyDescent="0.3">
      <c r="A74" s="55" t="s">
        <v>116</v>
      </c>
      <c r="B74" s="55" t="s">
        <v>20</v>
      </c>
      <c r="C74" s="55" t="s">
        <v>21</v>
      </c>
      <c r="D74" s="56">
        <v>44644</v>
      </c>
      <c r="E74" s="55">
        <v>4</v>
      </c>
      <c r="F74" s="55">
        <v>0.81530857906975795</v>
      </c>
      <c r="G74" s="56">
        <v>44954</v>
      </c>
      <c r="H74" s="55">
        <v>0.48260987316073201</v>
      </c>
    </row>
    <row r="75" spans="1:8" ht="24.6" customHeight="1" x14ac:dyDescent="0.3">
      <c r="A75" s="55" t="s">
        <v>117</v>
      </c>
      <c r="B75" s="55" t="s">
        <v>16</v>
      </c>
      <c r="C75" s="55" t="s">
        <v>17</v>
      </c>
      <c r="D75" s="56">
        <v>44554</v>
      </c>
      <c r="E75" s="55">
        <v>6</v>
      </c>
      <c r="F75" s="55">
        <v>0.15491081045699601</v>
      </c>
      <c r="G75" s="56">
        <v>45064</v>
      </c>
      <c r="H75" s="55">
        <v>0.76802453424894601</v>
      </c>
    </row>
    <row r="76" spans="1:8" ht="24.6" customHeight="1" x14ac:dyDescent="0.3">
      <c r="A76" s="55" t="s">
        <v>118</v>
      </c>
      <c r="B76" s="55" t="s">
        <v>57</v>
      </c>
      <c r="C76" s="55" t="s">
        <v>58</v>
      </c>
      <c r="D76" s="56">
        <v>44706</v>
      </c>
      <c r="E76" s="55">
        <v>1</v>
      </c>
      <c r="F76" s="55">
        <v>0.269555056043635</v>
      </c>
      <c r="G76" s="56">
        <v>45000</v>
      </c>
      <c r="H76" s="55">
        <v>0.122182361751799</v>
      </c>
    </row>
    <row r="77" spans="1:8" ht="24.6" customHeight="1" x14ac:dyDescent="0.3">
      <c r="A77" s="55" t="s">
        <v>119</v>
      </c>
      <c r="B77" s="55" t="s">
        <v>14</v>
      </c>
      <c r="C77" s="55" t="s">
        <v>9</v>
      </c>
      <c r="D77" s="56">
        <v>44794</v>
      </c>
      <c r="E77" s="55">
        <v>3</v>
      </c>
      <c r="F77" s="55">
        <v>0.71512622981990404</v>
      </c>
      <c r="G77" s="56">
        <v>45023</v>
      </c>
      <c r="H77" s="55">
        <v>2.82332058926804E-3</v>
      </c>
    </row>
    <row r="78" spans="1:8" ht="24.6" customHeight="1" x14ac:dyDescent="0.3">
      <c r="A78" s="55" t="s">
        <v>120</v>
      </c>
      <c r="B78" s="55" t="s">
        <v>33</v>
      </c>
      <c r="C78" s="55" t="s">
        <v>34</v>
      </c>
      <c r="D78" s="56">
        <v>44423</v>
      </c>
      <c r="E78" s="55">
        <v>5</v>
      </c>
      <c r="F78" s="55">
        <v>0.517478802978105</v>
      </c>
      <c r="G78" s="56">
        <v>44991</v>
      </c>
      <c r="H78" s="55">
        <v>0.194941670945359</v>
      </c>
    </row>
    <row r="79" spans="1:8" ht="24.6" customHeight="1" x14ac:dyDescent="0.3">
      <c r="A79" s="55" t="s">
        <v>121</v>
      </c>
      <c r="B79" s="55" t="s">
        <v>57</v>
      </c>
      <c r="C79" s="55" t="s">
        <v>58</v>
      </c>
      <c r="D79" s="56">
        <v>44270</v>
      </c>
      <c r="E79" s="55">
        <v>3</v>
      </c>
      <c r="F79" s="55">
        <v>0.98933192835650696</v>
      </c>
      <c r="G79" s="56">
        <v>44952</v>
      </c>
      <c r="H79" s="55">
        <v>0.116747383128981</v>
      </c>
    </row>
    <row r="80" spans="1:8" ht="24.6" customHeight="1" x14ac:dyDescent="0.3">
      <c r="A80" s="55" t="s">
        <v>122</v>
      </c>
      <c r="B80" s="55" t="s">
        <v>72</v>
      </c>
      <c r="C80" s="55" t="s">
        <v>73</v>
      </c>
      <c r="D80" s="56">
        <v>44852</v>
      </c>
      <c r="E80" s="55">
        <v>5</v>
      </c>
      <c r="F80" s="55">
        <v>0.32415684712172899</v>
      </c>
      <c r="G80" s="56">
        <v>45051</v>
      </c>
      <c r="H80" s="55">
        <v>0.28398523541759901</v>
      </c>
    </row>
    <row r="81" spans="1:8" ht="24.6" customHeight="1" x14ac:dyDescent="0.3">
      <c r="A81" s="55" t="s">
        <v>123</v>
      </c>
      <c r="B81" s="55" t="s">
        <v>8</v>
      </c>
      <c r="C81" s="55" t="s">
        <v>9</v>
      </c>
      <c r="D81" s="56">
        <v>44343</v>
      </c>
      <c r="E81" s="55">
        <v>6</v>
      </c>
      <c r="F81" s="55">
        <v>0.64559425958074801</v>
      </c>
      <c r="G81" s="56">
        <v>45057</v>
      </c>
      <c r="H81" s="55">
        <v>0.74976354481356899</v>
      </c>
    </row>
    <row r="82" spans="1:8" ht="24.6" customHeight="1" x14ac:dyDescent="0.3">
      <c r="A82" s="55" t="s">
        <v>124</v>
      </c>
      <c r="B82" s="55" t="s">
        <v>102</v>
      </c>
      <c r="C82" s="55" t="s">
        <v>103</v>
      </c>
      <c r="D82" s="56">
        <v>44643</v>
      </c>
      <c r="E82" s="55">
        <v>10</v>
      </c>
      <c r="F82" s="55">
        <v>0.13502577444900801</v>
      </c>
      <c r="G82" s="56">
        <v>45050</v>
      </c>
      <c r="H82" s="55">
        <v>9.7289928257875094E-2</v>
      </c>
    </row>
    <row r="83" spans="1:8" ht="24.6" customHeight="1" x14ac:dyDescent="0.3">
      <c r="A83" s="55" t="s">
        <v>125</v>
      </c>
      <c r="B83" s="55" t="s">
        <v>42</v>
      </c>
      <c r="C83" s="55" t="s">
        <v>43</v>
      </c>
      <c r="D83" s="56">
        <v>44353</v>
      </c>
      <c r="E83" s="55">
        <v>8</v>
      </c>
      <c r="F83" s="55">
        <v>0.74864767306151003</v>
      </c>
      <c r="G83" s="56">
        <v>45075</v>
      </c>
      <c r="H83" s="55">
        <v>0.91487830622236999</v>
      </c>
    </row>
    <row r="84" spans="1:8" ht="24.6" customHeight="1" x14ac:dyDescent="0.3">
      <c r="A84" s="55" t="s">
        <v>126</v>
      </c>
      <c r="B84" s="55" t="s">
        <v>48</v>
      </c>
      <c r="C84" s="55" t="s">
        <v>49</v>
      </c>
      <c r="D84" s="56">
        <v>44703</v>
      </c>
      <c r="E84" s="55">
        <v>1</v>
      </c>
      <c r="F84" s="55">
        <v>0.105161391848884</v>
      </c>
      <c r="G84" s="56">
        <v>45054</v>
      </c>
      <c r="H84" s="55">
        <v>0.22690729464404399</v>
      </c>
    </row>
    <row r="85" spans="1:8" ht="24.6" customHeight="1" x14ac:dyDescent="0.3">
      <c r="A85" s="55" t="s">
        <v>127</v>
      </c>
      <c r="B85" s="55" t="s">
        <v>128</v>
      </c>
      <c r="C85" s="55" t="s">
        <v>21</v>
      </c>
      <c r="D85" s="56">
        <v>44742</v>
      </c>
      <c r="E85" s="55">
        <v>6</v>
      </c>
      <c r="F85" s="55">
        <v>0.11408685507641</v>
      </c>
      <c r="G85" s="56">
        <v>44954</v>
      </c>
      <c r="H85" s="55">
        <v>0.33571676903915298</v>
      </c>
    </row>
    <row r="86" spans="1:8" ht="24.6" customHeight="1" x14ac:dyDescent="0.3">
      <c r="A86" s="55" t="s">
        <v>129</v>
      </c>
      <c r="B86" s="55" t="s">
        <v>60</v>
      </c>
      <c r="C86" s="55" t="s">
        <v>61</v>
      </c>
      <c r="D86" s="56">
        <v>44600</v>
      </c>
      <c r="E86" s="55">
        <v>1</v>
      </c>
      <c r="F86" s="55">
        <v>0.58372843681935904</v>
      </c>
      <c r="G86" s="56">
        <v>44997</v>
      </c>
      <c r="H86" s="55">
        <v>0.38186645762982302</v>
      </c>
    </row>
    <row r="87" spans="1:8" ht="24.6" customHeight="1" x14ac:dyDescent="0.3">
      <c r="A87" s="55" t="s">
        <v>130</v>
      </c>
      <c r="B87" s="55" t="s">
        <v>128</v>
      </c>
      <c r="C87" s="55" t="s">
        <v>21</v>
      </c>
      <c r="D87" s="56">
        <v>44721</v>
      </c>
      <c r="E87" s="55">
        <v>6</v>
      </c>
      <c r="F87" s="55">
        <v>1.6069181318315098E-2</v>
      </c>
      <c r="G87" s="56">
        <v>44928</v>
      </c>
      <c r="H87" s="55">
        <v>0.93551003990677095</v>
      </c>
    </row>
    <row r="88" spans="1:8" ht="24.6" customHeight="1" x14ac:dyDescent="0.3">
      <c r="A88" s="55" t="s">
        <v>131</v>
      </c>
      <c r="B88" s="55" t="s">
        <v>102</v>
      </c>
      <c r="C88" s="55" t="s">
        <v>103</v>
      </c>
      <c r="D88" s="56">
        <v>44544</v>
      </c>
      <c r="E88" s="55">
        <v>7</v>
      </c>
      <c r="F88" s="55">
        <v>0.77483286137645402</v>
      </c>
      <c r="G88" s="56">
        <v>44977</v>
      </c>
      <c r="H88" s="55">
        <v>0.83972936204120796</v>
      </c>
    </row>
    <row r="89" spans="1:8" ht="24.6" customHeight="1" x14ac:dyDescent="0.3">
      <c r="A89" s="55" t="s">
        <v>132</v>
      </c>
      <c r="B89" s="55" t="s">
        <v>33</v>
      </c>
      <c r="C89" s="55" t="s">
        <v>34</v>
      </c>
      <c r="D89" s="56">
        <v>44304</v>
      </c>
      <c r="E89" s="55">
        <v>6</v>
      </c>
      <c r="F89" s="55">
        <v>0.83415711448827101</v>
      </c>
      <c r="G89" s="56">
        <v>45032</v>
      </c>
      <c r="H89" s="55">
        <v>0.73754903864989096</v>
      </c>
    </row>
    <row r="90" spans="1:8" ht="24.6" customHeight="1" x14ac:dyDescent="0.3">
      <c r="A90" s="55" t="s">
        <v>133</v>
      </c>
      <c r="B90" s="55" t="s">
        <v>14</v>
      </c>
      <c r="C90" s="55" t="s">
        <v>9</v>
      </c>
      <c r="D90" s="56">
        <v>44285</v>
      </c>
      <c r="E90" s="55">
        <v>7</v>
      </c>
      <c r="F90" s="55">
        <v>0.27349998025771599</v>
      </c>
      <c r="G90" s="56">
        <v>45056</v>
      </c>
      <c r="H90" s="55">
        <v>0.398707058551939</v>
      </c>
    </row>
    <row r="91" spans="1:8" ht="24.6" customHeight="1" x14ac:dyDescent="0.3">
      <c r="A91" s="55" t="s">
        <v>134</v>
      </c>
      <c r="B91" s="55" t="s">
        <v>20</v>
      </c>
      <c r="C91" s="55" t="s">
        <v>21</v>
      </c>
      <c r="D91" s="56">
        <v>44279</v>
      </c>
      <c r="E91" s="55">
        <v>10</v>
      </c>
      <c r="F91" s="55">
        <v>0.17894362318854701</v>
      </c>
      <c r="G91" s="56">
        <v>45026</v>
      </c>
      <c r="H91" s="55">
        <v>0.27983535659688702</v>
      </c>
    </row>
    <row r="92" spans="1:8" ht="24.6" customHeight="1" x14ac:dyDescent="0.3">
      <c r="A92" s="55" t="s">
        <v>135</v>
      </c>
      <c r="B92" s="55" t="s">
        <v>8</v>
      </c>
      <c r="C92" s="55" t="s">
        <v>9</v>
      </c>
      <c r="D92" s="56">
        <v>44206</v>
      </c>
      <c r="E92" s="55">
        <v>2</v>
      </c>
      <c r="F92" s="55">
        <v>0.90504227111458202</v>
      </c>
      <c r="G92" s="56">
        <v>44957</v>
      </c>
      <c r="H92" s="55">
        <v>0.45883084719257899</v>
      </c>
    </row>
    <row r="93" spans="1:8" ht="24.6" customHeight="1" x14ac:dyDescent="0.3">
      <c r="A93" s="55" t="s">
        <v>136</v>
      </c>
      <c r="B93" s="55" t="s">
        <v>57</v>
      </c>
      <c r="C93" s="55" t="s">
        <v>58</v>
      </c>
      <c r="D93" s="56">
        <v>44557</v>
      </c>
      <c r="E93" s="55">
        <v>4</v>
      </c>
      <c r="F93" s="55">
        <v>3.6105377236760302E-3</v>
      </c>
      <c r="G93" s="56">
        <v>44993</v>
      </c>
      <c r="H93" s="55">
        <v>0.430410454177235</v>
      </c>
    </row>
    <row r="94" spans="1:8" ht="24.6" customHeight="1" x14ac:dyDescent="0.3">
      <c r="A94" s="55" t="s">
        <v>137</v>
      </c>
      <c r="B94" s="55" t="s">
        <v>80</v>
      </c>
      <c r="C94" s="55" t="s">
        <v>61</v>
      </c>
      <c r="D94" s="56">
        <v>44366</v>
      </c>
      <c r="E94" s="55">
        <v>2</v>
      </c>
      <c r="F94" s="55">
        <v>0.256532208615462</v>
      </c>
      <c r="G94" s="56">
        <v>44975</v>
      </c>
      <c r="H94" s="55">
        <v>0.25683090454434099</v>
      </c>
    </row>
    <row r="95" spans="1:8" ht="24.6" customHeight="1" x14ac:dyDescent="0.3">
      <c r="A95" s="55" t="s">
        <v>138</v>
      </c>
      <c r="B95" s="55" t="s">
        <v>102</v>
      </c>
      <c r="C95" s="55" t="s">
        <v>103</v>
      </c>
      <c r="D95" s="56">
        <v>44250</v>
      </c>
      <c r="E95" s="55">
        <v>5</v>
      </c>
      <c r="F95" s="55">
        <v>0.70021844930653598</v>
      </c>
      <c r="G95" s="56">
        <v>45008</v>
      </c>
      <c r="H95" s="55">
        <v>0.61187665279577597</v>
      </c>
    </row>
    <row r="96" spans="1:8" ht="24.6" customHeight="1" x14ac:dyDescent="0.3">
      <c r="A96" s="55" t="s">
        <v>139</v>
      </c>
      <c r="B96" s="55" t="s">
        <v>20</v>
      </c>
      <c r="C96" s="55" t="s">
        <v>21</v>
      </c>
      <c r="D96" s="56">
        <v>44235</v>
      </c>
      <c r="E96" s="55">
        <v>2</v>
      </c>
      <c r="F96" s="55">
        <v>0.86236623667253698</v>
      </c>
      <c r="G96" s="56">
        <v>45015</v>
      </c>
      <c r="H96" s="55">
        <v>0.56413054876588398</v>
      </c>
    </row>
    <row r="97" spans="1:8" ht="24.6" customHeight="1" x14ac:dyDescent="0.3">
      <c r="A97" s="55" t="s">
        <v>140</v>
      </c>
      <c r="B97" s="55" t="s">
        <v>128</v>
      </c>
      <c r="C97" s="55" t="s">
        <v>21</v>
      </c>
      <c r="D97" s="56">
        <v>44774</v>
      </c>
      <c r="E97" s="55">
        <v>5</v>
      </c>
      <c r="F97" s="55">
        <v>0.309379274915278</v>
      </c>
      <c r="G97" s="56">
        <v>45015</v>
      </c>
      <c r="H97" s="55">
        <v>6.4512653240185102E-3</v>
      </c>
    </row>
    <row r="98" spans="1:8" ht="24.6" customHeight="1" x14ac:dyDescent="0.3">
      <c r="A98" s="55" t="s">
        <v>141</v>
      </c>
      <c r="B98" s="55" t="s">
        <v>102</v>
      </c>
      <c r="C98" s="55" t="s">
        <v>103</v>
      </c>
      <c r="D98" s="56">
        <v>44396</v>
      </c>
      <c r="E98" s="55">
        <v>7</v>
      </c>
      <c r="F98" s="55">
        <v>0.55211790295911001</v>
      </c>
      <c r="G98" s="56">
        <v>45011</v>
      </c>
      <c r="H98" s="55">
        <v>0.33871055216854301</v>
      </c>
    </row>
    <row r="99" spans="1:8" ht="24.6" customHeight="1" x14ac:dyDescent="0.3">
      <c r="A99" s="55" t="s">
        <v>142</v>
      </c>
      <c r="B99" s="55" t="s">
        <v>128</v>
      </c>
      <c r="C99" s="55" t="s">
        <v>21</v>
      </c>
      <c r="D99" s="56">
        <v>44491</v>
      </c>
      <c r="E99" s="55">
        <v>4</v>
      </c>
      <c r="F99" s="55">
        <v>0.20150989296011099</v>
      </c>
      <c r="G99" s="56">
        <v>45067</v>
      </c>
      <c r="H99" s="55">
        <v>0.23936851527945999</v>
      </c>
    </row>
    <row r="100" spans="1:8" ht="24.6" customHeight="1" x14ac:dyDescent="0.3">
      <c r="A100" s="55" t="s">
        <v>143</v>
      </c>
      <c r="B100" s="55" t="s">
        <v>14</v>
      </c>
      <c r="C100" s="55" t="s">
        <v>9</v>
      </c>
      <c r="D100" s="56">
        <v>44534</v>
      </c>
      <c r="E100" s="55">
        <v>5</v>
      </c>
      <c r="F100" s="55">
        <v>0.18484009932934201</v>
      </c>
      <c r="G100" s="56">
        <v>44952</v>
      </c>
      <c r="H100" s="55">
        <v>0.17511595791935999</v>
      </c>
    </row>
    <row r="101" spans="1:8" ht="24.6" customHeight="1" x14ac:dyDescent="0.3">
      <c r="A101" s="55" t="s">
        <v>144</v>
      </c>
      <c r="B101" s="55" t="s">
        <v>29</v>
      </c>
      <c r="C101" s="55" t="s">
        <v>30</v>
      </c>
      <c r="D101" s="56">
        <v>44872</v>
      </c>
      <c r="E101" s="55">
        <v>6</v>
      </c>
      <c r="F101" s="55">
        <v>0.34955930087119302</v>
      </c>
      <c r="G101" s="56">
        <v>44929</v>
      </c>
      <c r="H101" s="55">
        <v>0.53327527116873796</v>
      </c>
    </row>
    <row r="102" spans="1:8" ht="24.6" customHeight="1" x14ac:dyDescent="0.3">
      <c r="A102" s="55" t="s">
        <v>145</v>
      </c>
      <c r="B102" s="55" t="s">
        <v>102</v>
      </c>
      <c r="C102" s="55" t="s">
        <v>103</v>
      </c>
      <c r="D102" s="56">
        <v>44468</v>
      </c>
      <c r="E102" s="55">
        <v>3</v>
      </c>
      <c r="F102" s="55">
        <v>0.93189165277683395</v>
      </c>
      <c r="G102" s="56">
        <v>44962</v>
      </c>
      <c r="H102" s="55">
        <v>2.43785689040747E-2</v>
      </c>
    </row>
    <row r="103" spans="1:8" ht="24.6" customHeight="1" x14ac:dyDescent="0.3">
      <c r="A103" s="55" t="s">
        <v>146</v>
      </c>
      <c r="B103" s="55" t="s">
        <v>72</v>
      </c>
      <c r="C103" s="55" t="s">
        <v>73</v>
      </c>
      <c r="D103" s="56">
        <v>44921</v>
      </c>
      <c r="E103" s="55">
        <v>10</v>
      </c>
      <c r="F103" s="55">
        <v>0.68735083469695002</v>
      </c>
      <c r="G103" s="56">
        <v>44990</v>
      </c>
      <c r="H103" s="55">
        <v>0.41787841201432302</v>
      </c>
    </row>
    <row r="104" spans="1:8" ht="24.6" customHeight="1" x14ac:dyDescent="0.3">
      <c r="A104" s="55" t="s">
        <v>147</v>
      </c>
      <c r="B104" s="55" t="s">
        <v>38</v>
      </c>
      <c r="C104" s="55" t="s">
        <v>39</v>
      </c>
      <c r="D104" s="56">
        <v>44605</v>
      </c>
      <c r="E104" s="55">
        <v>5</v>
      </c>
      <c r="F104" s="55">
        <v>0.17493546348643599</v>
      </c>
      <c r="G104" s="56">
        <v>45001</v>
      </c>
      <c r="H104" s="55">
        <v>0.83666855090333903</v>
      </c>
    </row>
    <row r="105" spans="1:8" ht="24.6" customHeight="1" x14ac:dyDescent="0.3">
      <c r="A105" s="55" t="s">
        <v>148</v>
      </c>
      <c r="B105" s="55" t="s">
        <v>102</v>
      </c>
      <c r="C105" s="55" t="s">
        <v>103</v>
      </c>
      <c r="D105" s="56">
        <v>44659</v>
      </c>
      <c r="E105" s="55">
        <v>7</v>
      </c>
      <c r="F105" s="55">
        <v>0.75215132834364595</v>
      </c>
      <c r="G105" s="56">
        <v>45051</v>
      </c>
      <c r="H105" s="55">
        <v>2.6168363795351798E-2</v>
      </c>
    </row>
    <row r="106" spans="1:8" ht="24.6" customHeight="1" x14ac:dyDescent="0.3">
      <c r="A106" s="55" t="s">
        <v>149</v>
      </c>
      <c r="B106" s="55" t="s">
        <v>38</v>
      </c>
      <c r="C106" s="55" t="s">
        <v>39</v>
      </c>
      <c r="D106" s="56">
        <v>44263</v>
      </c>
      <c r="E106" s="55">
        <v>1</v>
      </c>
      <c r="F106" s="55">
        <v>0.30953917056170199</v>
      </c>
      <c r="G106" s="56">
        <v>45058</v>
      </c>
      <c r="H106" s="55">
        <v>0.66043948995340296</v>
      </c>
    </row>
    <row r="107" spans="1:8" ht="24.6" customHeight="1" x14ac:dyDescent="0.3">
      <c r="A107" s="55" t="s">
        <v>150</v>
      </c>
      <c r="B107" s="55" t="s">
        <v>60</v>
      </c>
      <c r="C107" s="55" t="s">
        <v>61</v>
      </c>
      <c r="D107" s="56">
        <v>44422</v>
      </c>
      <c r="E107" s="55">
        <v>10</v>
      </c>
      <c r="F107" s="55">
        <v>0.62147829765565299</v>
      </c>
      <c r="G107" s="56">
        <v>45045</v>
      </c>
      <c r="H107" s="55">
        <v>0.44466276095616802</v>
      </c>
    </row>
    <row r="108" spans="1:8" ht="24.6" customHeight="1" x14ac:dyDescent="0.3">
      <c r="A108" s="55" t="s">
        <v>151</v>
      </c>
      <c r="B108" s="55" t="s">
        <v>57</v>
      </c>
      <c r="C108" s="55" t="s">
        <v>58</v>
      </c>
      <c r="D108" s="56">
        <v>44903</v>
      </c>
      <c r="E108" s="55">
        <v>7</v>
      </c>
      <c r="F108" s="55">
        <v>0.60752716500644899</v>
      </c>
      <c r="G108" s="56">
        <v>45029</v>
      </c>
      <c r="H108" s="55">
        <v>0.90286839870973001</v>
      </c>
    </row>
    <row r="109" spans="1:8" ht="24.6" customHeight="1" x14ac:dyDescent="0.3">
      <c r="A109" s="55" t="s">
        <v>152</v>
      </c>
      <c r="B109" s="55" t="s">
        <v>45</v>
      </c>
      <c r="C109" s="55" t="s">
        <v>46</v>
      </c>
      <c r="D109" s="56">
        <v>44810</v>
      </c>
      <c r="E109" s="55">
        <v>10</v>
      </c>
      <c r="F109" s="55">
        <v>8.0126723415399101E-2</v>
      </c>
      <c r="G109" s="56">
        <v>44973</v>
      </c>
      <c r="H109" s="55">
        <v>0.51635999068168204</v>
      </c>
    </row>
    <row r="110" spans="1:8" ht="24.6" customHeight="1" x14ac:dyDescent="0.3">
      <c r="A110" s="55" t="s">
        <v>153</v>
      </c>
      <c r="B110" s="55" t="s">
        <v>20</v>
      </c>
      <c r="C110" s="55" t="s">
        <v>21</v>
      </c>
      <c r="D110" s="56">
        <v>44716</v>
      </c>
      <c r="E110" s="55">
        <v>1</v>
      </c>
      <c r="F110" s="55">
        <v>0.165768699711766</v>
      </c>
      <c r="G110" s="56">
        <v>44958</v>
      </c>
      <c r="H110" s="55">
        <v>0.35219920122081899</v>
      </c>
    </row>
    <row r="111" spans="1:8" ht="24.6" customHeight="1" x14ac:dyDescent="0.3">
      <c r="A111" s="55" t="s">
        <v>154</v>
      </c>
      <c r="B111" s="55" t="s">
        <v>57</v>
      </c>
      <c r="C111" s="55" t="s">
        <v>58</v>
      </c>
      <c r="D111" s="56">
        <v>44276</v>
      </c>
      <c r="E111" s="55">
        <v>7</v>
      </c>
      <c r="F111" s="55">
        <v>0.95038285910889397</v>
      </c>
      <c r="G111" s="56">
        <v>45067</v>
      </c>
      <c r="H111" s="55">
        <v>0.493774747227402</v>
      </c>
    </row>
    <row r="112" spans="1:8" ht="24.6" customHeight="1" x14ac:dyDescent="0.3">
      <c r="A112" s="55" t="s">
        <v>155</v>
      </c>
      <c r="B112" s="55" t="s">
        <v>16</v>
      </c>
      <c r="C112" s="55" t="s">
        <v>17</v>
      </c>
      <c r="D112" s="56">
        <v>44709</v>
      </c>
      <c r="E112" s="55">
        <v>8</v>
      </c>
      <c r="F112" s="55">
        <v>0.34324624551472199</v>
      </c>
      <c r="G112" s="56">
        <v>44980</v>
      </c>
      <c r="H112" s="55">
        <v>5.5941217861464797E-2</v>
      </c>
    </row>
    <row r="113" spans="1:8" ht="24.6" customHeight="1" x14ac:dyDescent="0.3">
      <c r="A113" s="55" t="s">
        <v>156</v>
      </c>
      <c r="B113" s="55" t="s">
        <v>57</v>
      </c>
      <c r="C113" s="55" t="s">
        <v>58</v>
      </c>
      <c r="D113" s="56">
        <v>44907</v>
      </c>
      <c r="E113" s="55">
        <v>9</v>
      </c>
      <c r="F113" s="55">
        <v>0.88394112549340798</v>
      </c>
      <c r="G113" s="56">
        <v>44949</v>
      </c>
      <c r="H113" s="55">
        <v>0.170650898099275</v>
      </c>
    </row>
    <row r="114" spans="1:8" ht="24.6" customHeight="1" x14ac:dyDescent="0.3">
      <c r="A114" s="55" t="s">
        <v>157</v>
      </c>
      <c r="B114" s="55" t="s">
        <v>11</v>
      </c>
      <c r="C114" s="55" t="s">
        <v>12</v>
      </c>
      <c r="D114" s="56">
        <v>44578</v>
      </c>
      <c r="E114" s="55">
        <v>2</v>
      </c>
      <c r="F114" s="55">
        <v>0.19124266932346201</v>
      </c>
      <c r="G114" s="56">
        <v>44953</v>
      </c>
      <c r="H114" s="55">
        <v>0.44988838372928502</v>
      </c>
    </row>
    <row r="115" spans="1:8" ht="24.6" customHeight="1" x14ac:dyDescent="0.3">
      <c r="A115" s="55" t="s">
        <v>158</v>
      </c>
      <c r="B115" s="55" t="s">
        <v>42</v>
      </c>
      <c r="C115" s="55" t="s">
        <v>43</v>
      </c>
      <c r="D115" s="56">
        <v>44324</v>
      </c>
      <c r="E115" s="55">
        <v>9</v>
      </c>
      <c r="F115" s="55">
        <v>0.70237024955138705</v>
      </c>
      <c r="G115" s="56">
        <v>45039</v>
      </c>
      <c r="H115" s="55">
        <v>0.23474526869976101</v>
      </c>
    </row>
    <row r="116" spans="1:8" ht="24.6" customHeight="1" x14ac:dyDescent="0.3">
      <c r="A116" s="55" t="s">
        <v>159</v>
      </c>
      <c r="B116" s="55" t="s">
        <v>23</v>
      </c>
      <c r="C116" s="55" t="s">
        <v>24</v>
      </c>
      <c r="D116" s="56">
        <v>44464</v>
      </c>
      <c r="E116" s="55">
        <v>1</v>
      </c>
      <c r="F116" s="55">
        <v>0.47664293083306503</v>
      </c>
      <c r="G116" s="56">
        <v>44998</v>
      </c>
      <c r="H116" s="55">
        <v>0.23032087534575099</v>
      </c>
    </row>
    <row r="117" spans="1:8" ht="24.6" customHeight="1" x14ac:dyDescent="0.3">
      <c r="A117" s="55" t="s">
        <v>160</v>
      </c>
      <c r="B117" s="55" t="s">
        <v>60</v>
      </c>
      <c r="C117" s="55" t="s">
        <v>61</v>
      </c>
      <c r="D117" s="56">
        <v>44581</v>
      </c>
      <c r="E117" s="55">
        <v>8</v>
      </c>
      <c r="F117" s="55">
        <v>0.52894618812607497</v>
      </c>
      <c r="G117" s="56">
        <v>44998</v>
      </c>
      <c r="H117" s="55">
        <v>0.14894391596640999</v>
      </c>
    </row>
    <row r="118" spans="1:8" ht="24.6" customHeight="1" x14ac:dyDescent="0.3">
      <c r="A118" s="55" t="s">
        <v>161</v>
      </c>
      <c r="B118" s="55" t="s">
        <v>102</v>
      </c>
      <c r="C118" s="55" t="s">
        <v>103</v>
      </c>
      <c r="D118" s="56">
        <v>44595</v>
      </c>
      <c r="E118" s="55">
        <v>1</v>
      </c>
      <c r="F118" s="55">
        <v>0.90771622925444195</v>
      </c>
      <c r="G118" s="56">
        <v>44956</v>
      </c>
      <c r="H118" s="55">
        <v>0.76439006848756197</v>
      </c>
    </row>
    <row r="119" spans="1:8" ht="24.6" customHeight="1" x14ac:dyDescent="0.3">
      <c r="A119" s="55" t="s">
        <v>162</v>
      </c>
      <c r="B119" s="55" t="s">
        <v>53</v>
      </c>
      <c r="C119" s="55" t="s">
        <v>54</v>
      </c>
      <c r="D119" s="56">
        <v>44625</v>
      </c>
      <c r="E119" s="55">
        <v>4</v>
      </c>
      <c r="F119" s="55">
        <v>0.93532778717298004</v>
      </c>
      <c r="G119" s="56">
        <v>44933</v>
      </c>
      <c r="H119" s="55">
        <v>2.9378328012187802E-2</v>
      </c>
    </row>
    <row r="120" spans="1:8" ht="24.6" customHeight="1" x14ac:dyDescent="0.3">
      <c r="A120" s="55" t="s">
        <v>163</v>
      </c>
      <c r="B120" s="55" t="s">
        <v>8</v>
      </c>
      <c r="C120" s="55" t="s">
        <v>9</v>
      </c>
      <c r="D120" s="56">
        <v>44801</v>
      </c>
      <c r="E120" s="55">
        <v>6</v>
      </c>
      <c r="F120" s="55">
        <v>0.103932010083317</v>
      </c>
      <c r="G120" s="56">
        <v>44985</v>
      </c>
      <c r="H120" s="55">
        <v>6.0761804468123501E-5</v>
      </c>
    </row>
    <row r="121" spans="1:8" ht="24.6" customHeight="1" x14ac:dyDescent="0.3">
      <c r="A121" s="55" t="s">
        <v>164</v>
      </c>
      <c r="B121" s="55" t="s">
        <v>14</v>
      </c>
      <c r="C121" s="55" t="s">
        <v>9</v>
      </c>
      <c r="D121" s="56">
        <v>44589</v>
      </c>
      <c r="E121" s="55">
        <v>3</v>
      </c>
      <c r="F121" s="55">
        <v>0.33696098865178298</v>
      </c>
      <c r="G121" s="56">
        <v>45034</v>
      </c>
      <c r="H121" s="55">
        <v>0.68587611661549097</v>
      </c>
    </row>
    <row r="122" spans="1:8" ht="24.6" customHeight="1" x14ac:dyDescent="0.3">
      <c r="A122" s="55" t="s">
        <v>165</v>
      </c>
      <c r="B122" s="55" t="s">
        <v>45</v>
      </c>
      <c r="C122" s="55" t="s">
        <v>46</v>
      </c>
      <c r="D122" s="56">
        <v>44733</v>
      </c>
      <c r="E122" s="55">
        <v>9</v>
      </c>
      <c r="F122" s="55">
        <v>0.32825674154548301</v>
      </c>
      <c r="G122" s="56">
        <v>44981</v>
      </c>
      <c r="H122" s="55">
        <v>0.48045519677837101</v>
      </c>
    </row>
    <row r="123" spans="1:8" ht="24.6" customHeight="1" x14ac:dyDescent="0.3">
      <c r="A123" s="55" t="s">
        <v>166</v>
      </c>
      <c r="B123" s="55" t="s">
        <v>16</v>
      </c>
      <c r="C123" s="55" t="s">
        <v>17</v>
      </c>
      <c r="D123" s="56">
        <v>44879</v>
      </c>
      <c r="E123" s="55">
        <v>10</v>
      </c>
      <c r="F123" s="55">
        <v>0.47307005712237998</v>
      </c>
      <c r="G123" s="56">
        <v>44937</v>
      </c>
      <c r="H123" s="55">
        <v>0.10169187940690801</v>
      </c>
    </row>
    <row r="124" spans="1:8" ht="24.6" customHeight="1" x14ac:dyDescent="0.3">
      <c r="A124" s="55" t="s">
        <v>167</v>
      </c>
      <c r="B124" s="55" t="s">
        <v>33</v>
      </c>
      <c r="C124" s="55" t="s">
        <v>34</v>
      </c>
      <c r="D124" s="56">
        <v>44371</v>
      </c>
      <c r="E124" s="55">
        <v>9</v>
      </c>
      <c r="F124" s="55">
        <v>0.71248835178386805</v>
      </c>
      <c r="G124" s="56">
        <v>44975</v>
      </c>
      <c r="H124" s="55">
        <v>0.42914106932160101</v>
      </c>
    </row>
    <row r="125" spans="1:8" ht="24.6" customHeight="1" x14ac:dyDescent="0.3">
      <c r="A125" s="55" t="s">
        <v>168</v>
      </c>
      <c r="B125" s="55" t="s">
        <v>26</v>
      </c>
      <c r="C125" s="55" t="s">
        <v>27</v>
      </c>
      <c r="D125" s="56">
        <v>44792</v>
      </c>
      <c r="E125" s="55">
        <v>1</v>
      </c>
      <c r="F125" s="55">
        <v>0.87147093954098998</v>
      </c>
      <c r="G125" s="56">
        <v>44967</v>
      </c>
      <c r="H125" s="55">
        <v>0.35443622359295701</v>
      </c>
    </row>
    <row r="126" spans="1:8" ht="24.6" customHeight="1" x14ac:dyDescent="0.3">
      <c r="A126" s="55" t="s">
        <v>169</v>
      </c>
      <c r="B126" s="55" t="s">
        <v>11</v>
      </c>
      <c r="C126" s="55" t="s">
        <v>12</v>
      </c>
      <c r="D126" s="56">
        <v>44272</v>
      </c>
      <c r="E126" s="55">
        <v>6</v>
      </c>
      <c r="F126" s="55">
        <v>5.4464754581670202E-2</v>
      </c>
      <c r="G126" s="56">
        <v>45013</v>
      </c>
      <c r="H126" s="55">
        <v>0.49434155447053002</v>
      </c>
    </row>
    <row r="127" spans="1:8" ht="24.6" customHeight="1" x14ac:dyDescent="0.3">
      <c r="A127" s="55" t="s">
        <v>170</v>
      </c>
      <c r="B127" s="55" t="s">
        <v>102</v>
      </c>
      <c r="C127" s="55" t="s">
        <v>103</v>
      </c>
      <c r="D127" s="56">
        <v>44886</v>
      </c>
      <c r="E127" s="55">
        <v>8</v>
      </c>
      <c r="F127" s="55">
        <v>0.46539821567982897</v>
      </c>
      <c r="G127" s="56">
        <v>45038</v>
      </c>
      <c r="H127" s="55">
        <v>0.39766402949830199</v>
      </c>
    </row>
    <row r="128" spans="1:8" ht="24.6" customHeight="1" x14ac:dyDescent="0.3">
      <c r="A128" s="55" t="s">
        <v>171</v>
      </c>
      <c r="B128" s="55" t="s">
        <v>57</v>
      </c>
      <c r="C128" s="55" t="s">
        <v>58</v>
      </c>
      <c r="D128" s="56">
        <v>44380</v>
      </c>
      <c r="E128" s="55">
        <v>2</v>
      </c>
      <c r="F128" s="55">
        <v>0.41769016811982401</v>
      </c>
      <c r="G128" s="56">
        <v>44990</v>
      </c>
      <c r="H128" s="55">
        <v>0.67060305745283799</v>
      </c>
    </row>
    <row r="129" spans="1:8" ht="24.6" customHeight="1" x14ac:dyDescent="0.3">
      <c r="A129" s="55" t="s">
        <v>172</v>
      </c>
      <c r="B129" s="55" t="s">
        <v>45</v>
      </c>
      <c r="C129" s="55" t="s">
        <v>46</v>
      </c>
      <c r="D129" s="56">
        <v>44661</v>
      </c>
      <c r="E129" s="55">
        <v>5</v>
      </c>
      <c r="F129" s="55">
        <v>0.90898321519765801</v>
      </c>
      <c r="G129" s="56">
        <v>45067</v>
      </c>
      <c r="H129" s="55">
        <v>0.71076510162728801</v>
      </c>
    </row>
    <row r="130" spans="1:8" ht="24.6" customHeight="1" x14ac:dyDescent="0.3">
      <c r="A130" s="55" t="s">
        <v>173</v>
      </c>
      <c r="B130" s="55" t="s">
        <v>102</v>
      </c>
      <c r="C130" s="55" t="s">
        <v>103</v>
      </c>
      <c r="D130" s="56">
        <v>44297</v>
      </c>
      <c r="E130" s="55">
        <v>2</v>
      </c>
      <c r="F130" s="55">
        <v>2.2277472344418001E-2</v>
      </c>
      <c r="G130" s="56">
        <v>45053</v>
      </c>
      <c r="H130" s="55">
        <v>0.31572522679826798</v>
      </c>
    </row>
    <row r="131" spans="1:8" ht="24.6" customHeight="1" x14ac:dyDescent="0.3">
      <c r="A131" s="55" t="s">
        <v>174</v>
      </c>
      <c r="B131" s="55" t="s">
        <v>14</v>
      </c>
      <c r="C131" s="55" t="s">
        <v>9</v>
      </c>
      <c r="D131" s="56">
        <v>44223</v>
      </c>
      <c r="E131" s="55">
        <v>10</v>
      </c>
      <c r="F131" s="55">
        <v>4.84656763549157E-2</v>
      </c>
      <c r="G131" s="56">
        <v>45041</v>
      </c>
      <c r="H131" s="55">
        <v>0.76568330987062005</v>
      </c>
    </row>
    <row r="132" spans="1:8" ht="24.6" customHeight="1" x14ac:dyDescent="0.3">
      <c r="A132" s="55" t="s">
        <v>175</v>
      </c>
      <c r="B132" s="55" t="s">
        <v>72</v>
      </c>
      <c r="C132" s="55" t="s">
        <v>73</v>
      </c>
      <c r="D132" s="56">
        <v>44616</v>
      </c>
      <c r="E132" s="55">
        <v>10</v>
      </c>
      <c r="F132" s="55">
        <v>0.29076178482231801</v>
      </c>
      <c r="G132" s="56">
        <v>44945</v>
      </c>
      <c r="H132" s="55">
        <v>0.33143123502147698</v>
      </c>
    </row>
    <row r="133" spans="1:8" ht="24.6" customHeight="1" x14ac:dyDescent="0.3">
      <c r="A133" s="55" t="s">
        <v>176</v>
      </c>
      <c r="B133" s="55" t="s">
        <v>80</v>
      </c>
      <c r="C133" s="55" t="s">
        <v>61</v>
      </c>
      <c r="D133" s="56">
        <v>44398</v>
      </c>
      <c r="E133" s="55">
        <v>6</v>
      </c>
      <c r="F133" s="55">
        <v>0.74483031602755301</v>
      </c>
      <c r="G133" s="56">
        <v>45067</v>
      </c>
      <c r="H133" s="55">
        <v>0.45618689536000101</v>
      </c>
    </row>
    <row r="134" spans="1:8" ht="24.6" customHeight="1" x14ac:dyDescent="0.3">
      <c r="A134" s="55" t="s">
        <v>177</v>
      </c>
      <c r="B134" s="55" t="s">
        <v>29</v>
      </c>
      <c r="C134" s="55" t="s">
        <v>30</v>
      </c>
      <c r="D134" s="56">
        <v>44244</v>
      </c>
      <c r="E134" s="55">
        <v>2</v>
      </c>
      <c r="F134" s="55">
        <v>0.55145811024395297</v>
      </c>
      <c r="G134" s="56">
        <v>44938</v>
      </c>
      <c r="H134" s="55">
        <v>0.43942741221319298</v>
      </c>
    </row>
    <row r="135" spans="1:8" ht="24.6" customHeight="1" x14ac:dyDescent="0.3">
      <c r="A135" s="55" t="s">
        <v>178</v>
      </c>
      <c r="B135" s="55" t="s">
        <v>33</v>
      </c>
      <c r="C135" s="55" t="s">
        <v>34</v>
      </c>
      <c r="D135" s="56">
        <v>44715</v>
      </c>
      <c r="E135" s="55">
        <v>2</v>
      </c>
      <c r="F135" s="55">
        <v>0.75204781971908696</v>
      </c>
      <c r="G135" s="56">
        <v>45016</v>
      </c>
      <c r="H135" s="55">
        <v>0.46296822834011098</v>
      </c>
    </row>
    <row r="136" spans="1:8" ht="24.6" customHeight="1" x14ac:dyDescent="0.3">
      <c r="A136" s="55" t="s">
        <v>179</v>
      </c>
      <c r="B136" s="55" t="s">
        <v>60</v>
      </c>
      <c r="C136" s="55" t="s">
        <v>61</v>
      </c>
      <c r="D136" s="56">
        <v>44225</v>
      </c>
      <c r="E136" s="55">
        <v>7</v>
      </c>
      <c r="F136" s="55">
        <v>0.47691846634392299</v>
      </c>
      <c r="G136" s="56">
        <v>44981</v>
      </c>
      <c r="H136" s="55">
        <v>0.46204966570717498</v>
      </c>
    </row>
    <row r="137" spans="1:8" ht="24.6" customHeight="1" x14ac:dyDescent="0.3">
      <c r="A137" s="55" t="s">
        <v>180</v>
      </c>
      <c r="B137" s="55" t="s">
        <v>128</v>
      </c>
      <c r="C137" s="55" t="s">
        <v>21</v>
      </c>
      <c r="D137" s="56">
        <v>44442</v>
      </c>
      <c r="E137" s="55">
        <v>9</v>
      </c>
      <c r="F137" s="55">
        <v>0.351563700735118</v>
      </c>
      <c r="G137" s="56">
        <v>45023</v>
      </c>
      <c r="H137" s="55">
        <v>0.95442216883254405</v>
      </c>
    </row>
    <row r="138" spans="1:8" ht="24.6" customHeight="1" x14ac:dyDescent="0.3">
      <c r="A138" s="55" t="s">
        <v>181</v>
      </c>
      <c r="B138" s="55" t="s">
        <v>33</v>
      </c>
      <c r="C138" s="55" t="s">
        <v>34</v>
      </c>
      <c r="D138" s="56">
        <v>44878</v>
      </c>
      <c r="E138" s="55">
        <v>3</v>
      </c>
      <c r="F138" s="55">
        <v>0.708252824575899</v>
      </c>
      <c r="G138" s="56">
        <v>45047</v>
      </c>
      <c r="H138" s="55">
        <v>0.25743349659995701</v>
      </c>
    </row>
    <row r="139" spans="1:8" ht="24.6" customHeight="1" x14ac:dyDescent="0.3">
      <c r="A139" s="55" t="s">
        <v>182</v>
      </c>
      <c r="B139" s="55" t="s">
        <v>53</v>
      </c>
      <c r="C139" s="55" t="s">
        <v>54</v>
      </c>
      <c r="D139" s="56">
        <v>44535</v>
      </c>
      <c r="E139" s="55">
        <v>6</v>
      </c>
      <c r="F139" s="55">
        <v>8.1168066351901699E-2</v>
      </c>
      <c r="G139" s="56">
        <v>45004</v>
      </c>
      <c r="H139" s="55">
        <v>0.51544985308443603</v>
      </c>
    </row>
    <row r="140" spans="1:8" ht="24.6" customHeight="1" x14ac:dyDescent="0.3">
      <c r="A140" s="55" t="s">
        <v>183</v>
      </c>
      <c r="B140" s="55" t="s">
        <v>72</v>
      </c>
      <c r="C140" s="55" t="s">
        <v>73</v>
      </c>
      <c r="D140" s="56">
        <v>44815</v>
      </c>
      <c r="E140" s="55">
        <v>3</v>
      </c>
      <c r="F140" s="55">
        <v>0.44727279397540398</v>
      </c>
      <c r="G140" s="56">
        <v>44961</v>
      </c>
      <c r="H140" s="55">
        <v>0.72124646028638995</v>
      </c>
    </row>
    <row r="141" spans="1:8" ht="24.6" customHeight="1" x14ac:dyDescent="0.3">
      <c r="A141" s="55" t="s">
        <v>184</v>
      </c>
      <c r="B141" s="55" t="s">
        <v>29</v>
      </c>
      <c r="C141" s="55" t="s">
        <v>30</v>
      </c>
      <c r="D141" s="56">
        <v>44690</v>
      </c>
      <c r="E141" s="55">
        <v>5</v>
      </c>
      <c r="F141" s="55">
        <v>0.55996144918041602</v>
      </c>
      <c r="G141" s="56">
        <v>44982</v>
      </c>
      <c r="H141" s="55">
        <v>4.0845294204603297E-3</v>
      </c>
    </row>
    <row r="142" spans="1:8" ht="24.6" customHeight="1" x14ac:dyDescent="0.3">
      <c r="A142" s="55" t="s">
        <v>185</v>
      </c>
      <c r="B142" s="55" t="s">
        <v>128</v>
      </c>
      <c r="C142" s="55" t="s">
        <v>21</v>
      </c>
      <c r="D142" s="56">
        <v>44521</v>
      </c>
      <c r="E142" s="55">
        <v>4</v>
      </c>
      <c r="F142" s="55">
        <v>0.56230632063577901</v>
      </c>
      <c r="G142" s="56">
        <v>45060</v>
      </c>
      <c r="H142" s="55">
        <v>0.68743114384612203</v>
      </c>
    </row>
    <row r="143" spans="1:8" ht="24.6" customHeight="1" x14ac:dyDescent="0.3">
      <c r="A143" s="55" t="s">
        <v>186</v>
      </c>
      <c r="B143" s="55" t="s">
        <v>29</v>
      </c>
      <c r="C143" s="55" t="s">
        <v>30</v>
      </c>
      <c r="D143" s="56">
        <v>44769</v>
      </c>
      <c r="E143" s="55">
        <v>5</v>
      </c>
      <c r="F143" s="55">
        <v>0.72618042932337601</v>
      </c>
      <c r="G143" s="56">
        <v>45013</v>
      </c>
      <c r="H143" s="55">
        <v>0.31138195774945998</v>
      </c>
    </row>
    <row r="144" spans="1:8" ht="24.6" customHeight="1" x14ac:dyDescent="0.3">
      <c r="A144" s="55" t="s">
        <v>187</v>
      </c>
      <c r="B144" s="55" t="s">
        <v>70</v>
      </c>
      <c r="C144" s="55" t="s">
        <v>49</v>
      </c>
      <c r="D144" s="56">
        <v>44206</v>
      </c>
      <c r="E144" s="55">
        <v>3</v>
      </c>
      <c r="F144" s="55">
        <v>0.113699112632604</v>
      </c>
      <c r="G144" s="56">
        <v>45012</v>
      </c>
      <c r="H144" s="55">
        <v>3.0869795040312301E-2</v>
      </c>
    </row>
    <row r="145" spans="1:8" ht="24.6" customHeight="1" x14ac:dyDescent="0.3">
      <c r="A145" s="55" t="s">
        <v>188</v>
      </c>
      <c r="B145" s="55" t="s">
        <v>128</v>
      </c>
      <c r="C145" s="55" t="s">
        <v>21</v>
      </c>
      <c r="D145" s="56">
        <v>44822</v>
      </c>
      <c r="E145" s="55">
        <v>1</v>
      </c>
      <c r="F145" s="55">
        <v>8.6409222229514596E-2</v>
      </c>
      <c r="G145" s="56">
        <v>44945</v>
      </c>
      <c r="H145" s="55">
        <v>0.720395287309052</v>
      </c>
    </row>
    <row r="146" spans="1:8" ht="24.6" customHeight="1" x14ac:dyDescent="0.3">
      <c r="A146" s="55" t="s">
        <v>189</v>
      </c>
      <c r="B146" s="55" t="s">
        <v>70</v>
      </c>
      <c r="C146" s="55" t="s">
        <v>49</v>
      </c>
      <c r="D146" s="56">
        <v>44484</v>
      </c>
      <c r="E146" s="55">
        <v>4</v>
      </c>
      <c r="F146" s="55">
        <v>0.573839853564304</v>
      </c>
      <c r="G146" s="56">
        <v>45050</v>
      </c>
      <c r="H146" s="55">
        <v>0.74143260510805697</v>
      </c>
    </row>
    <row r="147" spans="1:8" ht="24.6" customHeight="1" x14ac:dyDescent="0.3">
      <c r="A147" s="55" t="s">
        <v>190</v>
      </c>
      <c r="B147" s="55" t="s">
        <v>26</v>
      </c>
      <c r="C147" s="55" t="s">
        <v>27</v>
      </c>
      <c r="D147" s="56">
        <v>44734</v>
      </c>
      <c r="E147" s="55">
        <v>10</v>
      </c>
      <c r="F147" s="55">
        <v>5.8312359538940997E-2</v>
      </c>
      <c r="G147" s="56">
        <v>45041</v>
      </c>
      <c r="H147" s="55">
        <v>0.50418526458823998</v>
      </c>
    </row>
    <row r="148" spans="1:8" ht="24.6" customHeight="1" x14ac:dyDescent="0.3">
      <c r="A148" s="55" t="s">
        <v>191</v>
      </c>
      <c r="B148" s="55" t="s">
        <v>53</v>
      </c>
      <c r="C148" s="55" t="s">
        <v>54</v>
      </c>
      <c r="D148" s="56">
        <v>44480</v>
      </c>
      <c r="E148" s="55">
        <v>7</v>
      </c>
      <c r="F148" s="55">
        <v>0.717702757066082</v>
      </c>
      <c r="G148" s="56">
        <v>44936</v>
      </c>
      <c r="H148" s="55">
        <v>0.1182538345041</v>
      </c>
    </row>
    <row r="149" spans="1:8" ht="24.6" customHeight="1" x14ac:dyDescent="0.3">
      <c r="A149" s="55" t="s">
        <v>192</v>
      </c>
      <c r="B149" s="55" t="s">
        <v>23</v>
      </c>
      <c r="C149" s="55" t="s">
        <v>24</v>
      </c>
      <c r="D149" s="56">
        <v>44534</v>
      </c>
      <c r="E149" s="55">
        <v>1</v>
      </c>
      <c r="F149" s="55">
        <v>0.29181649358212502</v>
      </c>
      <c r="G149" s="56">
        <v>44944</v>
      </c>
      <c r="H149" s="55">
        <v>0.59525600260086198</v>
      </c>
    </row>
    <row r="150" spans="1:8" ht="24.6" customHeight="1" x14ac:dyDescent="0.3">
      <c r="A150" s="55" t="s">
        <v>193</v>
      </c>
      <c r="B150" s="55" t="s">
        <v>57</v>
      </c>
      <c r="C150" s="55" t="s">
        <v>58</v>
      </c>
      <c r="D150" s="56">
        <v>44616</v>
      </c>
      <c r="E150" s="55">
        <v>7</v>
      </c>
      <c r="F150" s="55">
        <v>0.41475447056245102</v>
      </c>
      <c r="G150" s="56">
        <v>44992</v>
      </c>
      <c r="H150" s="55">
        <v>0.41302964862980401</v>
      </c>
    </row>
    <row r="151" spans="1:8" ht="24.6" customHeight="1" x14ac:dyDescent="0.3">
      <c r="A151" s="55" t="s">
        <v>194</v>
      </c>
      <c r="B151" s="55" t="s">
        <v>11</v>
      </c>
      <c r="C151" s="55" t="s">
        <v>12</v>
      </c>
      <c r="D151" s="56">
        <v>44766</v>
      </c>
      <c r="E151" s="55">
        <v>3</v>
      </c>
      <c r="F151" s="55">
        <v>0.273622029983696</v>
      </c>
      <c r="G151" s="56">
        <v>45026</v>
      </c>
      <c r="H151" s="55">
        <v>0.28004873586635498</v>
      </c>
    </row>
    <row r="152" spans="1:8" ht="24.6" customHeight="1" x14ac:dyDescent="0.3">
      <c r="A152" s="55" t="s">
        <v>195</v>
      </c>
      <c r="B152" s="55" t="s">
        <v>102</v>
      </c>
      <c r="C152" s="55" t="s">
        <v>103</v>
      </c>
      <c r="D152" s="56">
        <v>44857</v>
      </c>
      <c r="E152" s="55">
        <v>5</v>
      </c>
      <c r="F152" s="55">
        <v>0.36944159210677702</v>
      </c>
      <c r="G152" s="56">
        <v>44944</v>
      </c>
      <c r="H152" s="55">
        <v>0.83598479662907399</v>
      </c>
    </row>
    <row r="153" spans="1:8" ht="24.6" customHeight="1" x14ac:dyDescent="0.3">
      <c r="A153" s="55" t="s">
        <v>196</v>
      </c>
      <c r="B153" s="55" t="s">
        <v>102</v>
      </c>
      <c r="C153" s="55" t="s">
        <v>103</v>
      </c>
      <c r="D153" s="56">
        <v>44607</v>
      </c>
      <c r="E153" s="55">
        <v>1</v>
      </c>
      <c r="F153" s="55">
        <v>0.58311714000128001</v>
      </c>
      <c r="G153" s="56">
        <v>44986</v>
      </c>
      <c r="H153" s="55">
        <v>0.132094119226041</v>
      </c>
    </row>
    <row r="154" spans="1:8" ht="24.6" customHeight="1" x14ac:dyDescent="0.3">
      <c r="A154" s="55" t="s">
        <v>197</v>
      </c>
      <c r="B154" s="55" t="s">
        <v>33</v>
      </c>
      <c r="C154" s="55" t="s">
        <v>34</v>
      </c>
      <c r="D154" s="56">
        <v>44312</v>
      </c>
      <c r="E154" s="55">
        <v>6</v>
      </c>
      <c r="F154" s="55">
        <v>0.65300297719761102</v>
      </c>
      <c r="G154" s="56">
        <v>45013</v>
      </c>
      <c r="H154" s="55">
        <v>0.67542025364515701</v>
      </c>
    </row>
    <row r="155" spans="1:8" ht="24.6" customHeight="1" x14ac:dyDescent="0.3">
      <c r="A155" s="55" t="s">
        <v>198</v>
      </c>
      <c r="B155" s="55" t="s">
        <v>70</v>
      </c>
      <c r="C155" s="55" t="s">
        <v>49</v>
      </c>
      <c r="D155" s="56">
        <v>44684</v>
      </c>
      <c r="E155" s="55">
        <v>8</v>
      </c>
      <c r="F155" s="55">
        <v>0.29111039384551202</v>
      </c>
      <c r="G155" s="56">
        <v>45003</v>
      </c>
      <c r="H155" s="55">
        <v>0.67736656660512595</v>
      </c>
    </row>
    <row r="156" spans="1:8" ht="24.6" customHeight="1" x14ac:dyDescent="0.3">
      <c r="A156" s="55" t="s">
        <v>199</v>
      </c>
      <c r="B156" s="55" t="s">
        <v>70</v>
      </c>
      <c r="C156" s="55" t="s">
        <v>49</v>
      </c>
      <c r="D156" s="56">
        <v>44240</v>
      </c>
      <c r="E156" s="55">
        <v>4</v>
      </c>
      <c r="F156" s="55">
        <v>0.112536236136402</v>
      </c>
      <c r="G156" s="56">
        <v>45051</v>
      </c>
      <c r="H156" s="55">
        <v>0.73892418680528005</v>
      </c>
    </row>
    <row r="157" spans="1:8" ht="24.6" customHeight="1" x14ac:dyDescent="0.3">
      <c r="A157" s="55" t="s">
        <v>200</v>
      </c>
      <c r="B157" s="55" t="s">
        <v>33</v>
      </c>
      <c r="C157" s="55" t="s">
        <v>34</v>
      </c>
      <c r="D157" s="56">
        <v>44579</v>
      </c>
      <c r="E157" s="55">
        <v>9</v>
      </c>
      <c r="F157" s="55">
        <v>0.15192205963339001</v>
      </c>
      <c r="G157" s="56">
        <v>44999</v>
      </c>
      <c r="H157" s="55">
        <v>0.20150857478536399</v>
      </c>
    </row>
    <row r="158" spans="1:8" ht="24.6" customHeight="1" x14ac:dyDescent="0.3">
      <c r="A158" s="55" t="s">
        <v>201</v>
      </c>
      <c r="B158" s="55" t="s">
        <v>102</v>
      </c>
      <c r="C158" s="55" t="s">
        <v>103</v>
      </c>
      <c r="D158" s="56">
        <v>44830</v>
      </c>
      <c r="E158" s="55">
        <v>2</v>
      </c>
      <c r="F158" s="55">
        <v>0.28151547287029699</v>
      </c>
      <c r="G158" s="56">
        <v>44971</v>
      </c>
      <c r="H158" s="55">
        <v>0.112845737208008</v>
      </c>
    </row>
    <row r="159" spans="1:8" ht="24.6" customHeight="1" x14ac:dyDescent="0.3">
      <c r="A159" s="55" t="s">
        <v>202</v>
      </c>
      <c r="B159" s="55" t="s">
        <v>8</v>
      </c>
      <c r="C159" s="55" t="s">
        <v>9</v>
      </c>
      <c r="D159" s="56">
        <v>44580</v>
      </c>
      <c r="E159" s="55">
        <v>2</v>
      </c>
      <c r="F159" s="55">
        <v>0.47294292208057698</v>
      </c>
      <c r="G159" s="56">
        <v>45023</v>
      </c>
      <c r="H159" s="55">
        <v>0.79212265204075905</v>
      </c>
    </row>
    <row r="160" spans="1:8" ht="24.6" customHeight="1" x14ac:dyDescent="0.3">
      <c r="A160" s="55" t="s">
        <v>203</v>
      </c>
      <c r="B160" s="55" t="s">
        <v>8</v>
      </c>
      <c r="C160" s="55" t="s">
        <v>9</v>
      </c>
      <c r="D160" s="56">
        <v>44605</v>
      </c>
      <c r="E160" s="55">
        <v>2</v>
      </c>
      <c r="F160" s="55">
        <v>0.95827680251471803</v>
      </c>
      <c r="G160" s="56">
        <v>45009</v>
      </c>
      <c r="H160" s="55">
        <v>0.89660265479322399</v>
      </c>
    </row>
    <row r="161" spans="1:8" ht="24.6" customHeight="1" x14ac:dyDescent="0.3">
      <c r="A161" s="55" t="s">
        <v>204</v>
      </c>
      <c r="B161" s="55" t="s">
        <v>38</v>
      </c>
      <c r="C161" s="55" t="s">
        <v>39</v>
      </c>
      <c r="D161" s="56">
        <v>44604</v>
      </c>
      <c r="E161" s="55">
        <v>2</v>
      </c>
      <c r="F161" s="55">
        <v>0.27963347908695002</v>
      </c>
      <c r="G161" s="56">
        <v>44949</v>
      </c>
      <c r="H161" s="55">
        <v>0.24854191017697499</v>
      </c>
    </row>
    <row r="162" spans="1:8" ht="24.6" customHeight="1" x14ac:dyDescent="0.3">
      <c r="A162" s="55" t="s">
        <v>205</v>
      </c>
      <c r="B162" s="55" t="s">
        <v>60</v>
      </c>
      <c r="C162" s="55" t="s">
        <v>61</v>
      </c>
      <c r="D162" s="56">
        <v>44257</v>
      </c>
      <c r="E162" s="55">
        <v>8</v>
      </c>
      <c r="F162" s="55">
        <v>0.434644149591145</v>
      </c>
      <c r="G162" s="56">
        <v>44955</v>
      </c>
      <c r="H162" s="55">
        <v>0.625342854199327</v>
      </c>
    </row>
    <row r="163" spans="1:8" ht="24.6" customHeight="1" x14ac:dyDescent="0.3">
      <c r="A163" s="55" t="s">
        <v>206</v>
      </c>
      <c r="B163" s="55" t="s">
        <v>48</v>
      </c>
      <c r="C163" s="55" t="s">
        <v>49</v>
      </c>
      <c r="D163" s="56">
        <v>44745</v>
      </c>
      <c r="E163" s="55">
        <v>5</v>
      </c>
      <c r="F163" s="55">
        <v>0.74838580953710099</v>
      </c>
      <c r="G163" s="56">
        <v>44980</v>
      </c>
      <c r="H163" s="55">
        <v>0.56239389347784197</v>
      </c>
    </row>
    <row r="164" spans="1:8" ht="24.6" customHeight="1" x14ac:dyDescent="0.3">
      <c r="A164" s="55" t="s">
        <v>207</v>
      </c>
      <c r="B164" s="55" t="s">
        <v>29</v>
      </c>
      <c r="C164" s="55" t="s">
        <v>30</v>
      </c>
      <c r="D164" s="56">
        <v>44916</v>
      </c>
      <c r="E164" s="55">
        <v>6</v>
      </c>
      <c r="F164" s="55">
        <v>0.48045901029779903</v>
      </c>
      <c r="G164" s="56">
        <v>45064</v>
      </c>
      <c r="H164" s="55">
        <v>0.433788778732414</v>
      </c>
    </row>
    <row r="165" spans="1:8" ht="24.6" customHeight="1" x14ac:dyDescent="0.3">
      <c r="A165" s="55" t="s">
        <v>208</v>
      </c>
      <c r="B165" s="55" t="s">
        <v>57</v>
      </c>
      <c r="C165" s="55" t="s">
        <v>58</v>
      </c>
      <c r="D165" s="56">
        <v>44354</v>
      </c>
      <c r="E165" s="55">
        <v>7</v>
      </c>
      <c r="F165" s="55">
        <v>0.98744929724646802</v>
      </c>
      <c r="G165" s="56">
        <v>45049</v>
      </c>
      <c r="H165" s="55">
        <v>0.21163360381443899</v>
      </c>
    </row>
    <row r="166" spans="1:8" ht="24.6" customHeight="1" x14ac:dyDescent="0.3">
      <c r="A166" s="55" t="s">
        <v>209</v>
      </c>
      <c r="B166" s="55" t="s">
        <v>8</v>
      </c>
      <c r="C166" s="55" t="s">
        <v>9</v>
      </c>
      <c r="D166" s="56">
        <v>44711</v>
      </c>
      <c r="E166" s="55">
        <v>3</v>
      </c>
      <c r="F166" s="55">
        <v>5.2479096578398297E-2</v>
      </c>
      <c r="G166" s="56">
        <v>45069</v>
      </c>
      <c r="H166" s="55">
        <v>5.8390055671951401E-2</v>
      </c>
    </row>
    <row r="167" spans="1:8" ht="24.6" customHeight="1" x14ac:dyDescent="0.3">
      <c r="A167" s="55" t="s">
        <v>210</v>
      </c>
      <c r="B167" s="55" t="s">
        <v>48</v>
      </c>
      <c r="C167" s="55" t="s">
        <v>49</v>
      </c>
      <c r="D167" s="56">
        <v>44801</v>
      </c>
      <c r="E167" s="55">
        <v>4</v>
      </c>
      <c r="F167" s="55">
        <v>6.3638338964366797E-2</v>
      </c>
      <c r="G167" s="56">
        <v>45014</v>
      </c>
      <c r="H167" s="55">
        <v>0.82222519151117301</v>
      </c>
    </row>
    <row r="168" spans="1:8" ht="24.6" customHeight="1" x14ac:dyDescent="0.3">
      <c r="A168" s="55" t="s">
        <v>211</v>
      </c>
      <c r="B168" s="55" t="s">
        <v>20</v>
      </c>
      <c r="C168" s="55" t="s">
        <v>21</v>
      </c>
      <c r="D168" s="56">
        <v>44515</v>
      </c>
      <c r="E168" s="55">
        <v>3</v>
      </c>
      <c r="F168" s="55">
        <v>7.0327700844507193E-2</v>
      </c>
      <c r="G168" s="56">
        <v>44974</v>
      </c>
      <c r="H168" s="55">
        <v>9.4112460113233404E-2</v>
      </c>
    </row>
    <row r="169" spans="1:8" ht="24.6" customHeight="1" x14ac:dyDescent="0.3">
      <c r="A169" s="55" t="s">
        <v>212</v>
      </c>
      <c r="B169" s="55" t="s">
        <v>80</v>
      </c>
      <c r="C169" s="55" t="s">
        <v>61</v>
      </c>
      <c r="D169" s="56">
        <v>44897</v>
      </c>
      <c r="E169" s="55">
        <v>3</v>
      </c>
      <c r="F169" s="55">
        <v>0.95057620706778501</v>
      </c>
      <c r="G169" s="56">
        <v>45040</v>
      </c>
      <c r="H169" s="55">
        <v>0.96163422719710601</v>
      </c>
    </row>
    <row r="170" spans="1:8" ht="24.6" customHeight="1" x14ac:dyDescent="0.3">
      <c r="A170" s="55" t="s">
        <v>213</v>
      </c>
      <c r="B170" s="55" t="s">
        <v>102</v>
      </c>
      <c r="C170" s="55" t="s">
        <v>103</v>
      </c>
      <c r="D170" s="56">
        <v>44903</v>
      </c>
      <c r="E170" s="55">
        <v>1</v>
      </c>
      <c r="F170" s="55">
        <v>0.48177369539871401</v>
      </c>
      <c r="G170" s="56">
        <v>45046</v>
      </c>
      <c r="H170" s="55">
        <v>0.92834498334210402</v>
      </c>
    </row>
    <row r="171" spans="1:8" ht="24.6" customHeight="1" x14ac:dyDescent="0.3">
      <c r="A171" s="55" t="s">
        <v>214</v>
      </c>
      <c r="B171" s="55" t="s">
        <v>53</v>
      </c>
      <c r="C171" s="55" t="s">
        <v>54</v>
      </c>
      <c r="D171" s="56">
        <v>44204</v>
      </c>
      <c r="E171" s="55">
        <v>2</v>
      </c>
      <c r="F171" s="55">
        <v>0.43098053100217298</v>
      </c>
      <c r="G171" s="56">
        <v>44948</v>
      </c>
      <c r="H171" s="55">
        <v>0.43731221847381901</v>
      </c>
    </row>
    <row r="172" spans="1:8" ht="24.6" customHeight="1" x14ac:dyDescent="0.3">
      <c r="A172" s="55" t="s">
        <v>215</v>
      </c>
      <c r="B172" s="55" t="s">
        <v>23</v>
      </c>
      <c r="C172" s="55" t="s">
        <v>24</v>
      </c>
      <c r="D172" s="56">
        <v>44439</v>
      </c>
      <c r="E172" s="55">
        <v>8</v>
      </c>
      <c r="F172" s="55">
        <v>0.59735476523394404</v>
      </c>
      <c r="G172" s="56">
        <v>44982</v>
      </c>
      <c r="H172" s="55">
        <v>0.16822758298431501</v>
      </c>
    </row>
    <row r="173" spans="1:8" ht="24.6" customHeight="1" x14ac:dyDescent="0.3">
      <c r="A173" s="55" t="s">
        <v>216</v>
      </c>
      <c r="B173" s="55" t="s">
        <v>23</v>
      </c>
      <c r="C173" s="55" t="s">
        <v>24</v>
      </c>
      <c r="D173" s="56">
        <v>44449</v>
      </c>
      <c r="E173" s="55">
        <v>6</v>
      </c>
      <c r="F173" s="55">
        <v>0.26280269378864801</v>
      </c>
      <c r="G173" s="56">
        <v>45014</v>
      </c>
      <c r="H173" s="55">
        <v>0.14823080489066301</v>
      </c>
    </row>
    <row r="174" spans="1:8" ht="24.6" customHeight="1" x14ac:dyDescent="0.3">
      <c r="A174" s="55" t="s">
        <v>217</v>
      </c>
      <c r="B174" s="55" t="s">
        <v>48</v>
      </c>
      <c r="C174" s="55" t="s">
        <v>49</v>
      </c>
      <c r="D174" s="56">
        <v>44779</v>
      </c>
      <c r="E174" s="55">
        <v>4</v>
      </c>
      <c r="F174" s="55">
        <v>0.90284110874477896</v>
      </c>
      <c r="G174" s="56">
        <v>45008</v>
      </c>
      <c r="H174" s="55">
        <v>0.63507569454438495</v>
      </c>
    </row>
    <row r="175" spans="1:8" ht="24.6" customHeight="1" x14ac:dyDescent="0.3">
      <c r="A175" s="55" t="s">
        <v>218</v>
      </c>
      <c r="B175" s="55" t="s">
        <v>16</v>
      </c>
      <c r="C175" s="55" t="s">
        <v>17</v>
      </c>
      <c r="D175" s="56">
        <v>44241</v>
      </c>
      <c r="E175" s="55">
        <v>6</v>
      </c>
      <c r="F175" s="55">
        <v>0.98199261995326603</v>
      </c>
      <c r="G175" s="56">
        <v>44994</v>
      </c>
      <c r="H175" s="55">
        <v>0.54481123922804697</v>
      </c>
    </row>
    <row r="176" spans="1:8" ht="24.6" customHeight="1" x14ac:dyDescent="0.3">
      <c r="A176" s="55" t="s">
        <v>219</v>
      </c>
      <c r="B176" s="55" t="s">
        <v>42</v>
      </c>
      <c r="C176" s="55" t="s">
        <v>43</v>
      </c>
      <c r="D176" s="56">
        <v>44229</v>
      </c>
      <c r="E176" s="55">
        <v>3</v>
      </c>
      <c r="F176" s="55">
        <v>0.84716039463076198</v>
      </c>
      <c r="G176" s="56">
        <v>45067</v>
      </c>
      <c r="H176" s="55">
        <v>1.3086187744415801E-2</v>
      </c>
    </row>
    <row r="177" spans="1:8" ht="24.6" customHeight="1" x14ac:dyDescent="0.3">
      <c r="A177" s="55" t="s">
        <v>220</v>
      </c>
      <c r="B177" s="55" t="s">
        <v>128</v>
      </c>
      <c r="C177" s="55" t="s">
        <v>21</v>
      </c>
      <c r="D177" s="56">
        <v>44836</v>
      </c>
      <c r="E177" s="55">
        <v>5</v>
      </c>
      <c r="F177" s="55">
        <v>0.30637569785375002</v>
      </c>
      <c r="G177" s="56">
        <v>45008</v>
      </c>
      <c r="H177" s="55">
        <v>1.25503463839893E-3</v>
      </c>
    </row>
    <row r="178" spans="1:8" ht="24.6" customHeight="1" x14ac:dyDescent="0.3">
      <c r="A178" s="55" t="s">
        <v>221</v>
      </c>
      <c r="B178" s="55" t="s">
        <v>48</v>
      </c>
      <c r="C178" s="55" t="s">
        <v>49</v>
      </c>
      <c r="D178" s="56">
        <v>44211</v>
      </c>
      <c r="E178" s="55">
        <v>6</v>
      </c>
      <c r="F178" s="55">
        <v>0.76879912576772802</v>
      </c>
      <c r="G178" s="56">
        <v>45006</v>
      </c>
      <c r="H178" s="55">
        <v>0.86548533755676105</v>
      </c>
    </row>
    <row r="179" spans="1:8" ht="24.6" customHeight="1" x14ac:dyDescent="0.3">
      <c r="A179" s="55" t="s">
        <v>222</v>
      </c>
      <c r="B179" s="55" t="s">
        <v>33</v>
      </c>
      <c r="C179" s="55" t="s">
        <v>34</v>
      </c>
      <c r="D179" s="56">
        <v>44514</v>
      </c>
      <c r="E179" s="55">
        <v>7</v>
      </c>
      <c r="F179" s="55">
        <v>0.38563992038543599</v>
      </c>
      <c r="G179" s="56">
        <v>45004</v>
      </c>
      <c r="H179" s="55">
        <v>0.508902669316179</v>
      </c>
    </row>
    <row r="180" spans="1:8" ht="24.6" customHeight="1" x14ac:dyDescent="0.3">
      <c r="A180" s="55" t="s">
        <v>223</v>
      </c>
      <c r="B180" s="55" t="s">
        <v>80</v>
      </c>
      <c r="C180" s="55" t="s">
        <v>61</v>
      </c>
      <c r="D180" s="56">
        <v>44309</v>
      </c>
      <c r="E180" s="55">
        <v>8</v>
      </c>
      <c r="F180" s="55">
        <v>0.85335977277591302</v>
      </c>
      <c r="G180" s="56">
        <v>45021</v>
      </c>
      <c r="H180" s="55">
        <v>0.99207281995433205</v>
      </c>
    </row>
    <row r="181" spans="1:8" ht="24.6" customHeight="1" x14ac:dyDescent="0.3">
      <c r="A181" s="55" t="s">
        <v>224</v>
      </c>
      <c r="B181" s="55" t="s">
        <v>11</v>
      </c>
      <c r="C181" s="55" t="s">
        <v>12</v>
      </c>
      <c r="D181" s="56">
        <v>44289</v>
      </c>
      <c r="E181" s="55">
        <v>5</v>
      </c>
      <c r="F181" s="55">
        <v>0.28334897654743202</v>
      </c>
      <c r="G181" s="56">
        <v>44965</v>
      </c>
      <c r="H181" s="55">
        <v>0.63454053513977304</v>
      </c>
    </row>
    <row r="182" spans="1:8" ht="24.6" customHeight="1" x14ac:dyDescent="0.3">
      <c r="A182" s="55" t="s">
        <v>225</v>
      </c>
      <c r="B182" s="55" t="s">
        <v>80</v>
      </c>
      <c r="C182" s="55" t="s">
        <v>61</v>
      </c>
      <c r="D182" s="56">
        <v>44572</v>
      </c>
      <c r="E182" s="55">
        <v>3</v>
      </c>
      <c r="F182" s="55">
        <v>0.117748642112043</v>
      </c>
      <c r="G182" s="56">
        <v>45073</v>
      </c>
      <c r="H182" s="55">
        <v>0.67092430905617095</v>
      </c>
    </row>
    <row r="183" spans="1:8" ht="24.6" customHeight="1" x14ac:dyDescent="0.3">
      <c r="A183" s="55" t="s">
        <v>226</v>
      </c>
      <c r="B183" s="55" t="s">
        <v>38</v>
      </c>
      <c r="C183" s="55" t="s">
        <v>39</v>
      </c>
      <c r="D183" s="56">
        <v>44790</v>
      </c>
      <c r="E183" s="55">
        <v>5</v>
      </c>
      <c r="F183" s="55">
        <v>0.76783916519082696</v>
      </c>
      <c r="G183" s="56">
        <v>45021</v>
      </c>
      <c r="H183" s="55">
        <v>0.24099871039557799</v>
      </c>
    </row>
    <row r="184" spans="1:8" ht="24.6" customHeight="1" x14ac:dyDescent="0.3">
      <c r="A184" s="55" t="s">
        <v>227</v>
      </c>
      <c r="B184" s="55" t="s">
        <v>38</v>
      </c>
      <c r="C184" s="55" t="s">
        <v>39</v>
      </c>
      <c r="D184" s="56">
        <v>44766</v>
      </c>
      <c r="E184" s="55">
        <v>2</v>
      </c>
      <c r="F184" s="55">
        <v>0.14806713315151801</v>
      </c>
      <c r="G184" s="56">
        <v>45051</v>
      </c>
      <c r="H184" s="55">
        <v>0.312315972509696</v>
      </c>
    </row>
    <row r="185" spans="1:8" ht="24.6" customHeight="1" x14ac:dyDescent="0.3">
      <c r="A185" s="55" t="s">
        <v>228</v>
      </c>
      <c r="B185" s="55" t="s">
        <v>38</v>
      </c>
      <c r="C185" s="55" t="s">
        <v>39</v>
      </c>
      <c r="D185" s="56">
        <v>44577</v>
      </c>
      <c r="E185" s="55">
        <v>7</v>
      </c>
      <c r="F185" s="55">
        <v>7.8885651390256904E-3</v>
      </c>
      <c r="G185" s="56">
        <v>45037</v>
      </c>
      <c r="H185" s="55">
        <v>0.42001946730883299</v>
      </c>
    </row>
    <row r="186" spans="1:8" ht="24.6" customHeight="1" x14ac:dyDescent="0.3">
      <c r="A186" s="55" t="s">
        <v>229</v>
      </c>
      <c r="B186" s="55" t="s">
        <v>72</v>
      </c>
      <c r="C186" s="55" t="s">
        <v>73</v>
      </c>
      <c r="D186" s="56">
        <v>44416</v>
      </c>
      <c r="E186" s="55">
        <v>7</v>
      </c>
      <c r="F186" s="55">
        <v>6.5026558074850402E-2</v>
      </c>
      <c r="G186" s="56">
        <v>45005</v>
      </c>
      <c r="H186" s="55">
        <v>0.566596656084567</v>
      </c>
    </row>
    <row r="187" spans="1:8" ht="24.6" customHeight="1" x14ac:dyDescent="0.3">
      <c r="A187" s="55" t="s">
        <v>230</v>
      </c>
      <c r="B187" s="55" t="s">
        <v>14</v>
      </c>
      <c r="C187" s="55" t="s">
        <v>9</v>
      </c>
      <c r="D187" s="56">
        <v>44883</v>
      </c>
      <c r="E187" s="55">
        <v>1</v>
      </c>
      <c r="F187" s="55">
        <v>0.30777843623572698</v>
      </c>
      <c r="G187" s="56">
        <v>44963</v>
      </c>
      <c r="H187" s="55">
        <v>0.172453184843159</v>
      </c>
    </row>
    <row r="188" spans="1:8" ht="24.6" customHeight="1" x14ac:dyDescent="0.3">
      <c r="A188" s="55" t="s">
        <v>231</v>
      </c>
      <c r="B188" s="55" t="s">
        <v>26</v>
      </c>
      <c r="C188" s="55" t="s">
        <v>27</v>
      </c>
      <c r="D188" s="56">
        <v>44214</v>
      </c>
      <c r="E188" s="55">
        <v>5</v>
      </c>
      <c r="F188" s="55">
        <v>0.1874453216227</v>
      </c>
      <c r="G188" s="56">
        <v>44961</v>
      </c>
      <c r="H188" s="55">
        <v>0.22911064366850301</v>
      </c>
    </row>
    <row r="189" spans="1:8" ht="24.6" customHeight="1" x14ac:dyDescent="0.3">
      <c r="A189" s="55" t="s">
        <v>232</v>
      </c>
      <c r="B189" s="55" t="s">
        <v>42</v>
      </c>
      <c r="C189" s="55" t="s">
        <v>43</v>
      </c>
      <c r="D189" s="56">
        <v>44403</v>
      </c>
      <c r="E189" s="55">
        <v>6</v>
      </c>
      <c r="F189" s="55">
        <v>0.83300140406454304</v>
      </c>
      <c r="G189" s="56">
        <v>45026</v>
      </c>
      <c r="H189" s="55">
        <v>0.70242147925557197</v>
      </c>
    </row>
    <row r="190" spans="1:8" ht="24.6" customHeight="1" x14ac:dyDescent="0.3">
      <c r="A190" s="55" t="s">
        <v>233</v>
      </c>
      <c r="B190" s="55" t="s">
        <v>33</v>
      </c>
      <c r="C190" s="55" t="s">
        <v>34</v>
      </c>
      <c r="D190" s="56">
        <v>44694</v>
      </c>
      <c r="E190" s="55">
        <v>3</v>
      </c>
      <c r="F190" s="55">
        <v>0.27727516856333601</v>
      </c>
      <c r="G190" s="56">
        <v>45036</v>
      </c>
      <c r="H190" s="55">
        <v>0.34199564672456301</v>
      </c>
    </row>
    <row r="191" spans="1:8" ht="24.6" customHeight="1" x14ac:dyDescent="0.3">
      <c r="A191" s="55" t="s">
        <v>234</v>
      </c>
      <c r="B191" s="55" t="s">
        <v>8</v>
      </c>
      <c r="C191" s="55" t="s">
        <v>9</v>
      </c>
      <c r="D191" s="56">
        <v>44199</v>
      </c>
      <c r="E191" s="55">
        <v>2</v>
      </c>
      <c r="F191" s="55">
        <v>0.22356266053190499</v>
      </c>
      <c r="G191" s="56">
        <v>44951</v>
      </c>
      <c r="H191" s="55">
        <v>0.43217504342818902</v>
      </c>
    </row>
    <row r="192" spans="1:8" ht="24.6" customHeight="1" x14ac:dyDescent="0.3">
      <c r="A192" s="55" t="s">
        <v>235</v>
      </c>
      <c r="B192" s="55" t="s">
        <v>45</v>
      </c>
      <c r="C192" s="55" t="s">
        <v>46</v>
      </c>
      <c r="D192" s="56">
        <v>44606</v>
      </c>
      <c r="E192" s="55">
        <v>6</v>
      </c>
      <c r="F192" s="55">
        <v>0.64447099494037297</v>
      </c>
      <c r="G192" s="56">
        <v>44975</v>
      </c>
      <c r="H192" s="55">
        <v>0.96567027076396705</v>
      </c>
    </row>
    <row r="193" spans="1:8" ht="24.6" customHeight="1" x14ac:dyDescent="0.3">
      <c r="A193" s="55" t="s">
        <v>236</v>
      </c>
      <c r="B193" s="55" t="s">
        <v>48</v>
      </c>
      <c r="C193" s="55" t="s">
        <v>49</v>
      </c>
      <c r="D193" s="56">
        <v>44760</v>
      </c>
      <c r="E193" s="55">
        <v>6</v>
      </c>
      <c r="F193" s="55">
        <v>0.91937449423976403</v>
      </c>
      <c r="G193" s="56">
        <v>44941</v>
      </c>
      <c r="H193" s="55">
        <v>0.80855685548065803</v>
      </c>
    </row>
    <row r="194" spans="1:8" ht="24.6" customHeight="1" x14ac:dyDescent="0.3">
      <c r="A194" s="55" t="s">
        <v>237</v>
      </c>
      <c r="B194" s="55" t="s">
        <v>70</v>
      </c>
      <c r="C194" s="55" t="s">
        <v>49</v>
      </c>
      <c r="D194" s="56">
        <v>44391</v>
      </c>
      <c r="E194" s="55">
        <v>1</v>
      </c>
      <c r="F194" s="55">
        <v>0.26377783191771698</v>
      </c>
      <c r="G194" s="56">
        <v>44943</v>
      </c>
      <c r="H194" s="55">
        <v>0.53464391868976202</v>
      </c>
    </row>
    <row r="195" spans="1:8" ht="24.6" customHeight="1" x14ac:dyDescent="0.3">
      <c r="A195" s="55" t="s">
        <v>238</v>
      </c>
      <c r="B195" s="55" t="s">
        <v>26</v>
      </c>
      <c r="C195" s="55" t="s">
        <v>27</v>
      </c>
      <c r="D195" s="56">
        <v>44457</v>
      </c>
      <c r="E195" s="55">
        <v>3</v>
      </c>
      <c r="F195" s="55">
        <v>0.48376018648020602</v>
      </c>
      <c r="G195" s="56">
        <v>44983</v>
      </c>
      <c r="H195" s="55">
        <v>0.28976743361438201</v>
      </c>
    </row>
    <row r="196" spans="1:8" ht="24.6" customHeight="1" x14ac:dyDescent="0.3">
      <c r="A196" s="55" t="s">
        <v>239</v>
      </c>
      <c r="B196" s="55" t="s">
        <v>57</v>
      </c>
      <c r="C196" s="55" t="s">
        <v>58</v>
      </c>
      <c r="D196" s="56">
        <v>44409</v>
      </c>
      <c r="E196" s="55">
        <v>2</v>
      </c>
      <c r="F196" s="55">
        <v>0.56649641364178105</v>
      </c>
      <c r="G196" s="56">
        <v>44948</v>
      </c>
      <c r="H196" s="55">
        <v>0.76019400248091895</v>
      </c>
    </row>
    <row r="197" spans="1:8" ht="24.6" customHeight="1" x14ac:dyDescent="0.3">
      <c r="A197" s="55" t="s">
        <v>240</v>
      </c>
      <c r="B197" s="55" t="s">
        <v>102</v>
      </c>
      <c r="C197" s="55" t="s">
        <v>103</v>
      </c>
      <c r="D197" s="56">
        <v>44229</v>
      </c>
      <c r="E197" s="55">
        <v>10</v>
      </c>
      <c r="F197" s="55">
        <v>0.81758392927810297</v>
      </c>
      <c r="G197" s="56">
        <v>44937</v>
      </c>
      <c r="H197" s="55">
        <v>0.16419798109251399</v>
      </c>
    </row>
    <row r="198" spans="1:8" ht="24.6" customHeight="1" x14ac:dyDescent="0.3">
      <c r="A198" s="55" t="s">
        <v>241</v>
      </c>
      <c r="B198" s="55" t="s">
        <v>45</v>
      </c>
      <c r="C198" s="55" t="s">
        <v>46</v>
      </c>
      <c r="D198" s="56">
        <v>44412</v>
      </c>
      <c r="E198" s="55">
        <v>5</v>
      </c>
      <c r="F198" s="55">
        <v>0.24147425161639699</v>
      </c>
      <c r="G198" s="56">
        <v>45005</v>
      </c>
      <c r="H198" s="55">
        <v>0.23302367858983999</v>
      </c>
    </row>
    <row r="199" spans="1:8" ht="24.6" customHeight="1" x14ac:dyDescent="0.3">
      <c r="A199" s="55" t="s">
        <v>242</v>
      </c>
      <c r="B199" s="55" t="s">
        <v>57</v>
      </c>
      <c r="C199" s="55" t="s">
        <v>58</v>
      </c>
      <c r="D199" s="56">
        <v>44828</v>
      </c>
      <c r="E199" s="55">
        <v>6</v>
      </c>
      <c r="F199" s="55">
        <v>0.51291771398490105</v>
      </c>
      <c r="G199" s="56">
        <v>44987</v>
      </c>
      <c r="H199" s="55">
        <v>0.755021488484095</v>
      </c>
    </row>
    <row r="200" spans="1:8" ht="24.6" customHeight="1" x14ac:dyDescent="0.3">
      <c r="A200" s="55" t="s">
        <v>243</v>
      </c>
      <c r="B200" s="55" t="s">
        <v>72</v>
      </c>
      <c r="C200" s="55" t="s">
        <v>73</v>
      </c>
      <c r="D200" s="56">
        <v>44742</v>
      </c>
      <c r="E200" s="55">
        <v>9</v>
      </c>
      <c r="F200" s="55">
        <v>0.30094368268289601</v>
      </c>
      <c r="G200" s="56">
        <v>45037</v>
      </c>
      <c r="H200" s="55">
        <v>0.55983002083455202</v>
      </c>
    </row>
    <row r="201" spans="1:8" ht="24.6" customHeight="1" x14ac:dyDescent="0.3">
      <c r="A201" s="55" t="s">
        <v>244</v>
      </c>
      <c r="B201" s="55" t="s">
        <v>57</v>
      </c>
      <c r="C201" s="55" t="s">
        <v>58</v>
      </c>
      <c r="D201" s="56">
        <v>44502</v>
      </c>
      <c r="E201" s="55">
        <v>8</v>
      </c>
      <c r="F201" s="55">
        <v>0.91352809441905303</v>
      </c>
      <c r="G201" s="56">
        <v>44978</v>
      </c>
      <c r="H201" s="55">
        <v>0.137985792121295</v>
      </c>
    </row>
    <row r="202" spans="1:8" x14ac:dyDescent="0.3">
      <c r="D202" s="1"/>
      <c r="G202" s="1"/>
    </row>
    <row r="203" spans="1:8" x14ac:dyDescent="0.3">
      <c r="G203" s="1"/>
    </row>
    <row r="204" spans="1:8" x14ac:dyDescent="0.3">
      <c r="D204" s="1"/>
      <c r="G20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D40"/>
  <sheetViews>
    <sheetView showGridLines="0" tabSelected="1" zoomScale="90" zoomScaleNormal="90" workbookViewId="0">
      <selection activeCell="E12" sqref="E12"/>
    </sheetView>
  </sheetViews>
  <sheetFormatPr defaultRowHeight="14.4" x14ac:dyDescent="0.3"/>
  <cols>
    <col min="1" max="1" width="17.88671875" bestFit="1" customWidth="1"/>
    <col min="2" max="2" width="32.33203125" bestFit="1" customWidth="1"/>
    <col min="3" max="3" width="17.21875" bestFit="1" customWidth="1"/>
    <col min="4" max="4" width="27.6640625" bestFit="1" customWidth="1"/>
    <col min="5" max="22" width="31.77734375" bestFit="1" customWidth="1"/>
    <col min="23" max="23" width="5.21875" bestFit="1" customWidth="1"/>
  </cols>
  <sheetData>
    <row r="1" spans="1:4" ht="21" thickTop="1" thickBot="1" x14ac:dyDescent="0.55000000000000004">
      <c r="A1" s="28" t="s">
        <v>1</v>
      </c>
      <c r="B1" s="29" t="s">
        <v>0</v>
      </c>
      <c r="C1" s="29" t="s">
        <v>254</v>
      </c>
      <c r="D1" s="30" t="s">
        <v>257</v>
      </c>
    </row>
    <row r="2" spans="1:4" ht="19.8" customHeight="1" thickTop="1" x14ac:dyDescent="0.3">
      <c r="A2" s="23" t="s">
        <v>103</v>
      </c>
      <c r="B2" s="23" t="s">
        <v>102</v>
      </c>
      <c r="C2" s="24">
        <v>80</v>
      </c>
      <c r="D2" s="23"/>
    </row>
    <row r="3" spans="1:4" ht="19.8" customHeight="1" x14ac:dyDescent="0.3">
      <c r="A3" s="25" t="s">
        <v>255</v>
      </c>
      <c r="B3" s="25"/>
      <c r="C3" s="26">
        <v>80</v>
      </c>
      <c r="D3" s="25" t="str">
        <f t="shared" ref="D3:D40" si="0">IF(C3&gt;66, "YES", "NO")</f>
        <v>YES</v>
      </c>
    </row>
    <row r="4" spans="1:4" ht="19.8" customHeight="1" x14ac:dyDescent="0.3">
      <c r="A4" s="25" t="s">
        <v>58</v>
      </c>
      <c r="B4" s="25" t="s">
        <v>57</v>
      </c>
      <c r="C4" s="26">
        <v>83</v>
      </c>
      <c r="D4" s="25"/>
    </row>
    <row r="5" spans="1:4" ht="19.8" customHeight="1" x14ac:dyDescent="0.3">
      <c r="A5" s="25" t="s">
        <v>255</v>
      </c>
      <c r="B5" s="25"/>
      <c r="C5" s="26">
        <v>83</v>
      </c>
      <c r="D5" s="25" t="str">
        <f t="shared" si="0"/>
        <v>YES</v>
      </c>
    </row>
    <row r="6" spans="1:4" ht="19.8" customHeight="1" x14ac:dyDescent="0.3">
      <c r="A6" s="25" t="s">
        <v>30</v>
      </c>
      <c r="B6" s="25" t="s">
        <v>29</v>
      </c>
      <c r="C6" s="26">
        <v>46</v>
      </c>
      <c r="D6" s="25"/>
    </row>
    <row r="7" spans="1:4" ht="19.8" customHeight="1" x14ac:dyDescent="0.3">
      <c r="A7" s="25" t="s">
        <v>255</v>
      </c>
      <c r="B7" s="25"/>
      <c r="C7" s="26">
        <v>46</v>
      </c>
      <c r="D7" s="25" t="str">
        <f t="shared" si="0"/>
        <v>NO</v>
      </c>
    </row>
    <row r="8" spans="1:4" ht="19.8" customHeight="1" x14ac:dyDescent="0.3">
      <c r="A8" s="25" t="s">
        <v>49</v>
      </c>
      <c r="B8" s="25" t="s">
        <v>48</v>
      </c>
      <c r="C8" s="26">
        <v>39</v>
      </c>
      <c r="D8" s="25"/>
    </row>
    <row r="9" spans="1:4" ht="19.8" customHeight="1" x14ac:dyDescent="0.3">
      <c r="A9" s="25"/>
      <c r="B9" s="25" t="s">
        <v>70</v>
      </c>
      <c r="C9" s="26">
        <v>35</v>
      </c>
      <c r="D9" s="25"/>
    </row>
    <row r="10" spans="1:4" ht="19.8" customHeight="1" x14ac:dyDescent="0.3">
      <c r="A10" s="25" t="s">
        <v>255</v>
      </c>
      <c r="B10" s="25"/>
      <c r="C10" s="26">
        <v>74</v>
      </c>
      <c r="D10" s="25" t="str">
        <f t="shared" si="0"/>
        <v>YES</v>
      </c>
    </row>
    <row r="11" spans="1:4" ht="19.8" customHeight="1" x14ac:dyDescent="0.3">
      <c r="A11" s="25" t="s">
        <v>21</v>
      </c>
      <c r="B11" s="25" t="s">
        <v>20</v>
      </c>
      <c r="C11" s="26">
        <v>30</v>
      </c>
      <c r="D11" s="25"/>
    </row>
    <row r="12" spans="1:4" ht="19.8" customHeight="1" x14ac:dyDescent="0.3">
      <c r="A12" s="25"/>
      <c r="B12" s="25" t="s">
        <v>128</v>
      </c>
      <c r="C12" s="26">
        <v>40</v>
      </c>
      <c r="D12" s="25"/>
    </row>
    <row r="13" spans="1:4" ht="19.8" customHeight="1" x14ac:dyDescent="0.3">
      <c r="A13" s="25" t="s">
        <v>255</v>
      </c>
      <c r="B13" s="25"/>
      <c r="C13" s="26">
        <v>70</v>
      </c>
      <c r="D13" s="25" t="str">
        <f t="shared" si="0"/>
        <v>YES</v>
      </c>
    </row>
    <row r="14" spans="1:4" ht="19.8" customHeight="1" x14ac:dyDescent="0.3">
      <c r="A14" s="25" t="s">
        <v>34</v>
      </c>
      <c r="B14" s="25" t="s">
        <v>33</v>
      </c>
      <c r="C14" s="26">
        <v>81</v>
      </c>
      <c r="D14" s="25"/>
    </row>
    <row r="15" spans="1:4" ht="19.8" customHeight="1" x14ac:dyDescent="0.3">
      <c r="A15" s="25" t="s">
        <v>255</v>
      </c>
      <c r="B15" s="25"/>
      <c r="C15" s="26">
        <v>81</v>
      </c>
      <c r="D15" s="25" t="str">
        <f t="shared" si="0"/>
        <v>YES</v>
      </c>
    </row>
    <row r="16" spans="1:4" ht="19.8" customHeight="1" x14ac:dyDescent="0.3">
      <c r="A16" s="25" t="s">
        <v>46</v>
      </c>
      <c r="B16" s="25" t="s">
        <v>45</v>
      </c>
      <c r="C16" s="26">
        <v>54</v>
      </c>
      <c r="D16" s="25"/>
    </row>
    <row r="17" spans="1:4" ht="19.8" customHeight="1" x14ac:dyDescent="0.3">
      <c r="A17" s="25" t="s">
        <v>255</v>
      </c>
      <c r="B17" s="25"/>
      <c r="C17" s="26">
        <v>54</v>
      </c>
      <c r="D17" s="25" t="str">
        <f t="shared" si="0"/>
        <v>NO</v>
      </c>
    </row>
    <row r="18" spans="1:4" ht="19.8" customHeight="1" x14ac:dyDescent="0.3">
      <c r="A18" s="25" t="s">
        <v>9</v>
      </c>
      <c r="B18" s="25" t="s">
        <v>8</v>
      </c>
      <c r="C18" s="26">
        <v>75</v>
      </c>
      <c r="D18" s="25"/>
    </row>
    <row r="19" spans="1:4" ht="19.8" customHeight="1" x14ac:dyDescent="0.3">
      <c r="A19" s="25"/>
      <c r="B19" s="25" t="s">
        <v>14</v>
      </c>
      <c r="C19" s="26">
        <v>36</v>
      </c>
      <c r="D19" s="25"/>
    </row>
    <row r="20" spans="1:4" ht="19.8" customHeight="1" x14ac:dyDescent="0.3">
      <c r="A20" s="25" t="s">
        <v>255</v>
      </c>
      <c r="B20" s="25"/>
      <c r="C20" s="26">
        <v>111</v>
      </c>
      <c r="D20" s="25" t="str">
        <f t="shared" si="0"/>
        <v>YES</v>
      </c>
    </row>
    <row r="21" spans="1:4" ht="19.8" customHeight="1" x14ac:dyDescent="0.3">
      <c r="A21" s="25" t="s">
        <v>12</v>
      </c>
      <c r="B21" s="25" t="s">
        <v>11</v>
      </c>
      <c r="C21" s="26">
        <v>40</v>
      </c>
      <c r="D21" s="25"/>
    </row>
    <row r="22" spans="1:4" ht="19.8" customHeight="1" x14ac:dyDescent="0.3">
      <c r="A22" s="25" t="s">
        <v>255</v>
      </c>
      <c r="B22" s="25"/>
      <c r="C22" s="26">
        <v>40</v>
      </c>
      <c r="D22" s="25" t="str">
        <f t="shared" si="0"/>
        <v>NO</v>
      </c>
    </row>
    <row r="23" spans="1:4" ht="19.8" customHeight="1" x14ac:dyDescent="0.3">
      <c r="A23" s="25" t="s">
        <v>43</v>
      </c>
      <c r="B23" s="25" t="s">
        <v>42</v>
      </c>
      <c r="C23" s="26">
        <v>43</v>
      </c>
      <c r="D23" s="25"/>
    </row>
    <row r="24" spans="1:4" ht="19.8" customHeight="1" x14ac:dyDescent="0.3">
      <c r="A24" s="25" t="s">
        <v>255</v>
      </c>
      <c r="B24" s="25"/>
      <c r="C24" s="26">
        <v>43</v>
      </c>
      <c r="D24" s="25" t="str">
        <f t="shared" si="0"/>
        <v>NO</v>
      </c>
    </row>
    <row r="25" spans="1:4" ht="19.8" customHeight="1" x14ac:dyDescent="0.3">
      <c r="A25" s="25" t="s">
        <v>39</v>
      </c>
      <c r="B25" s="25" t="s">
        <v>38</v>
      </c>
      <c r="C25" s="26">
        <v>35</v>
      </c>
      <c r="D25" s="25"/>
    </row>
    <row r="26" spans="1:4" ht="19.8" customHeight="1" x14ac:dyDescent="0.3">
      <c r="A26" s="25" t="s">
        <v>255</v>
      </c>
      <c r="B26" s="25"/>
      <c r="C26" s="26">
        <v>35</v>
      </c>
      <c r="D26" s="25" t="str">
        <f t="shared" si="0"/>
        <v>NO</v>
      </c>
    </row>
    <row r="27" spans="1:4" ht="19.8" customHeight="1" x14ac:dyDescent="0.3">
      <c r="A27" s="25" t="s">
        <v>27</v>
      </c>
      <c r="B27" s="25" t="s">
        <v>26</v>
      </c>
      <c r="C27" s="26">
        <v>34</v>
      </c>
      <c r="D27" s="25"/>
    </row>
    <row r="28" spans="1:4" ht="19.8" customHeight="1" x14ac:dyDescent="0.3">
      <c r="A28" s="25" t="s">
        <v>255</v>
      </c>
      <c r="B28" s="25"/>
      <c r="C28" s="26">
        <v>34</v>
      </c>
      <c r="D28" s="25" t="str">
        <f t="shared" si="0"/>
        <v>NO</v>
      </c>
    </row>
    <row r="29" spans="1:4" ht="19.8" customHeight="1" x14ac:dyDescent="0.3">
      <c r="A29" s="25" t="s">
        <v>24</v>
      </c>
      <c r="B29" s="25" t="s">
        <v>23</v>
      </c>
      <c r="C29" s="26">
        <v>36</v>
      </c>
      <c r="D29" s="25"/>
    </row>
    <row r="30" spans="1:4" ht="19.8" customHeight="1" x14ac:dyDescent="0.3">
      <c r="A30" s="25" t="s">
        <v>255</v>
      </c>
      <c r="B30" s="25"/>
      <c r="C30" s="26">
        <v>36</v>
      </c>
      <c r="D30" s="25" t="str">
        <f t="shared" si="0"/>
        <v>NO</v>
      </c>
    </row>
    <row r="31" spans="1:4" ht="19.8" customHeight="1" x14ac:dyDescent="0.3">
      <c r="A31" s="25" t="s">
        <v>17</v>
      </c>
      <c r="B31" s="25" t="s">
        <v>16</v>
      </c>
      <c r="C31" s="26">
        <v>49</v>
      </c>
      <c r="D31" s="25"/>
    </row>
    <row r="32" spans="1:4" ht="19.8" customHeight="1" x14ac:dyDescent="0.3">
      <c r="A32" s="25" t="s">
        <v>255</v>
      </c>
      <c r="B32" s="25"/>
      <c r="C32" s="26">
        <v>49</v>
      </c>
      <c r="D32" s="25" t="str">
        <f t="shared" si="0"/>
        <v>NO</v>
      </c>
    </row>
    <row r="33" spans="1:4" ht="19.8" customHeight="1" x14ac:dyDescent="0.3">
      <c r="A33" s="25" t="s">
        <v>73</v>
      </c>
      <c r="B33" s="25" t="s">
        <v>72</v>
      </c>
      <c r="C33" s="26">
        <v>57</v>
      </c>
      <c r="D33" s="25"/>
    </row>
    <row r="34" spans="1:4" ht="19.8" customHeight="1" x14ac:dyDescent="0.3">
      <c r="A34" s="25" t="s">
        <v>255</v>
      </c>
      <c r="B34" s="25"/>
      <c r="C34" s="26">
        <v>57</v>
      </c>
      <c r="D34" s="25" t="str">
        <f t="shared" si="0"/>
        <v>NO</v>
      </c>
    </row>
    <row r="35" spans="1:4" ht="19.8" customHeight="1" x14ac:dyDescent="0.3">
      <c r="A35" s="25" t="s">
        <v>54</v>
      </c>
      <c r="B35" s="25" t="s">
        <v>53</v>
      </c>
      <c r="C35" s="26">
        <v>38</v>
      </c>
      <c r="D35" s="25"/>
    </row>
    <row r="36" spans="1:4" ht="19.8" customHeight="1" x14ac:dyDescent="0.3">
      <c r="A36" s="25" t="s">
        <v>255</v>
      </c>
      <c r="B36" s="25"/>
      <c r="C36" s="26">
        <v>38</v>
      </c>
      <c r="D36" s="25" t="str">
        <f t="shared" si="0"/>
        <v>NO</v>
      </c>
    </row>
    <row r="37" spans="1:4" ht="19.8" customHeight="1" x14ac:dyDescent="0.3">
      <c r="A37" s="25" t="s">
        <v>61</v>
      </c>
      <c r="B37" s="25" t="s">
        <v>60</v>
      </c>
      <c r="C37" s="26">
        <v>42</v>
      </c>
      <c r="D37" s="25"/>
    </row>
    <row r="38" spans="1:4" ht="19.8" customHeight="1" x14ac:dyDescent="0.3">
      <c r="A38" s="25"/>
      <c r="B38" s="25" t="s">
        <v>80</v>
      </c>
      <c r="C38" s="26">
        <v>46</v>
      </c>
      <c r="D38" s="25"/>
    </row>
    <row r="39" spans="1:4" ht="19.8" customHeight="1" x14ac:dyDescent="0.3">
      <c r="A39" s="25" t="s">
        <v>255</v>
      </c>
      <c r="B39" s="25"/>
      <c r="C39" s="26">
        <v>88</v>
      </c>
      <c r="D39" s="25" t="str">
        <f t="shared" si="0"/>
        <v>YES</v>
      </c>
    </row>
    <row r="40" spans="1:4" ht="19.8" customHeight="1" x14ac:dyDescent="0.3">
      <c r="A40" s="23" t="s">
        <v>256</v>
      </c>
      <c r="B40" s="23"/>
      <c r="C40" s="24">
        <v>1019</v>
      </c>
      <c r="D4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9078-41C3-4FF7-A39D-1B0CBDC6B48D}">
  <sheetPr>
    <tabColor theme="9" tint="0.59999389629810485"/>
  </sheetPr>
  <dimension ref="A1:AT423"/>
  <sheetViews>
    <sheetView showGridLines="0" topLeftCell="A9" zoomScaleNormal="100" workbookViewId="0">
      <selection activeCell="N6" sqref="N6"/>
    </sheetView>
  </sheetViews>
  <sheetFormatPr defaultRowHeight="14.4" x14ac:dyDescent="0.3"/>
  <cols>
    <col min="1" max="1" width="12.109375" customWidth="1"/>
    <col min="2" max="2" width="28.109375" bestFit="1" customWidth="1"/>
    <col min="3" max="3" width="10.21875" customWidth="1"/>
    <col min="5" max="5" width="15.44140625" customWidth="1"/>
    <col min="8" max="8" width="17.21875" bestFit="1" customWidth="1"/>
    <col min="9" max="9" width="17.109375" style="12" customWidth="1"/>
    <col min="10" max="10" width="9.77734375" customWidth="1"/>
    <col min="11" max="11" width="10" customWidth="1"/>
    <col min="12" max="12" width="10.77734375" customWidth="1"/>
    <col min="19" max="19" width="11.6640625" bestFit="1" customWidth="1"/>
    <col min="20" max="21" width="9" bestFit="1" customWidth="1"/>
    <col min="22" max="22" width="11.6640625" bestFit="1" customWidth="1"/>
    <col min="23" max="23" width="9" bestFit="1" customWidth="1"/>
  </cols>
  <sheetData>
    <row r="1" spans="1:46" ht="21" thickTop="1" thickBot="1" x14ac:dyDescent="0.55000000000000004">
      <c r="A1" s="13" t="s">
        <v>245</v>
      </c>
      <c r="B1" s="13" t="s">
        <v>249</v>
      </c>
      <c r="C1" s="13" t="s">
        <v>248</v>
      </c>
      <c r="S1" s="9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15" thickTop="1" x14ac:dyDescent="0.3">
      <c r="A2" s="4" t="s">
        <v>7</v>
      </c>
      <c r="B2" s="4">
        <f>My_trades[[#This Row],[Date sold]]-My_trades[[#This Row],[Date added]]</f>
        <v>251</v>
      </c>
      <c r="C2" s="5">
        <f>(My_trades[[#This Row],[Sell Price]]-My_trades[[#This Row],[Buy Price]])*My_trades[[#This Row],[Quantity]]</f>
        <v>1.917610405077395</v>
      </c>
      <c r="E2" s="8"/>
      <c r="S2" s="11"/>
      <c r="T2" s="10"/>
      <c r="U2" s="10"/>
      <c r="V2" s="11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 x14ac:dyDescent="0.3">
      <c r="A3" s="2" t="s">
        <v>10</v>
      </c>
      <c r="B3" s="4">
        <f>My_trades[[#This Row],[Date sold]]-My_trades[[#This Row],[Date added]]</f>
        <v>839</v>
      </c>
      <c r="C3" s="5">
        <f>(My_trades[[#This Row],[Sell Price]]-My_trades[[#This Row],[Buy Price]])*My_trades[[#This Row],[Quantity]]</f>
        <v>0.49681701762970598</v>
      </c>
      <c r="S3" s="11"/>
      <c r="T3" s="10"/>
      <c r="U3" s="10"/>
      <c r="V3" s="11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x14ac:dyDescent="0.3">
      <c r="A4" s="2" t="s">
        <v>13</v>
      </c>
      <c r="B4" s="4">
        <f>My_trades[[#This Row],[Date sold]]-My_trades[[#This Row],[Date added]]</f>
        <v>449</v>
      </c>
      <c r="C4" s="5">
        <f>(My_trades[[#This Row],[Sell Price]]-My_trades[[#This Row],[Buy Price]])*My_trades[[#This Row],[Quantity]]</f>
        <v>-1.5501903178054743</v>
      </c>
      <c r="S4" s="11"/>
      <c r="T4" s="10"/>
      <c r="U4" s="10"/>
      <c r="V4" s="11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spans="1:46" x14ac:dyDescent="0.3">
      <c r="A5" s="2" t="s">
        <v>15</v>
      </c>
      <c r="B5" s="4">
        <f>My_trades[[#This Row],[Date sold]]-My_trades[[#This Row],[Date added]]</f>
        <v>307</v>
      </c>
      <c r="C5" s="5">
        <f>(My_trades[[#This Row],[Sell Price]]-My_trades[[#This Row],[Buy Price]])*My_trades[[#This Row],[Quantity]]</f>
        <v>0.36765639973741299</v>
      </c>
      <c r="S5" s="11"/>
      <c r="T5" s="10"/>
      <c r="U5" s="10"/>
      <c r="V5" s="11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1:46" x14ac:dyDescent="0.3">
      <c r="A6" s="2" t="s">
        <v>18</v>
      </c>
      <c r="B6" s="4">
        <f>My_trades[[#This Row],[Date sold]]-My_trades[[#This Row],[Date added]]</f>
        <v>626</v>
      </c>
      <c r="C6" s="5">
        <f>(My_trades[[#This Row],[Sell Price]]-My_trades[[#This Row],[Buy Price]])*My_trades[[#This Row],[Quantity]]</f>
        <v>-3.1851052688947403</v>
      </c>
      <c r="S6" s="11"/>
      <c r="T6" s="10"/>
      <c r="U6" s="10"/>
      <c r="V6" s="11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 x14ac:dyDescent="0.3">
      <c r="A7" s="2" t="s">
        <v>19</v>
      </c>
      <c r="B7" s="4">
        <f>My_trades[[#This Row],[Date sold]]-My_trades[[#This Row],[Date added]]</f>
        <v>440</v>
      </c>
      <c r="C7" s="5">
        <f>(My_trades[[#This Row],[Sell Price]]-My_trades[[#This Row],[Buy Price]])*My_trades[[#This Row],[Quantity]]</f>
        <v>0.67427563789571499</v>
      </c>
      <c r="S7" s="11"/>
      <c r="T7" s="10"/>
      <c r="U7" s="10"/>
      <c r="V7" s="11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x14ac:dyDescent="0.3">
      <c r="A8" s="2" t="s">
        <v>22</v>
      </c>
      <c r="B8" s="4">
        <f>My_trades[[#This Row],[Date sold]]-My_trades[[#This Row],[Date added]]</f>
        <v>430</v>
      </c>
      <c r="C8" s="5">
        <f>(My_trades[[#This Row],[Sell Price]]-My_trades[[#This Row],[Buy Price]])*My_trades[[#This Row],[Quantity]]</f>
        <v>0.91937945611308602</v>
      </c>
      <c r="S8" s="11"/>
      <c r="T8" s="10"/>
      <c r="U8" s="10"/>
      <c r="V8" s="11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 x14ac:dyDescent="0.3">
      <c r="A9" s="2" t="s">
        <v>25</v>
      </c>
      <c r="B9" s="4">
        <f>My_trades[[#This Row],[Date sold]]-My_trades[[#This Row],[Date added]]</f>
        <v>407</v>
      </c>
      <c r="C9" s="5">
        <f>(My_trades[[#This Row],[Sell Price]]-My_trades[[#This Row],[Buy Price]])*My_trades[[#This Row],[Quantity]]</f>
        <v>1.0126794928685681</v>
      </c>
      <c r="S9" s="11"/>
      <c r="T9" s="10"/>
      <c r="U9" s="10"/>
      <c r="V9" s="11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 x14ac:dyDescent="0.3">
      <c r="A10" s="2" t="s">
        <v>28</v>
      </c>
      <c r="B10" s="4">
        <f>My_trades[[#This Row],[Date sold]]-My_trades[[#This Row],[Date added]]</f>
        <v>573</v>
      </c>
      <c r="C10" s="5">
        <f>(My_trades[[#This Row],[Sell Price]]-My_trades[[#This Row],[Buy Price]])*My_trades[[#This Row],[Quantity]]</f>
        <v>1.3264069051873706</v>
      </c>
      <c r="S10" s="11"/>
      <c r="T10" s="10"/>
      <c r="U10" s="10"/>
      <c r="V10" s="11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x14ac:dyDescent="0.3">
      <c r="A11" s="2" t="s">
        <v>31</v>
      </c>
      <c r="B11" s="4">
        <f>My_trades[[#This Row],[Date sold]]-My_trades[[#This Row],[Date added]]</f>
        <v>400</v>
      </c>
      <c r="C11" s="5">
        <f>(My_trades[[#This Row],[Sell Price]]-My_trades[[#This Row],[Buy Price]])*My_trades[[#This Row],[Quantity]]</f>
        <v>1.0623777349169758</v>
      </c>
      <c r="S11" s="11"/>
      <c r="T11" s="10"/>
      <c r="U11" s="10"/>
      <c r="V11" s="11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46" x14ac:dyDescent="0.3">
      <c r="A12" s="2" t="s">
        <v>32</v>
      </c>
      <c r="B12" s="4">
        <f>My_trades[[#This Row],[Date sold]]-My_trades[[#This Row],[Date added]]</f>
        <v>589</v>
      </c>
      <c r="C12" s="5">
        <f>(My_trades[[#This Row],[Sell Price]]-My_trades[[#This Row],[Buy Price]])*My_trades[[#This Row],[Quantity]]</f>
        <v>0.47934230714693549</v>
      </c>
      <c r="S12" s="11"/>
      <c r="T12" s="10"/>
      <c r="U12" s="10"/>
      <c r="V12" s="11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46" x14ac:dyDescent="0.3">
      <c r="A13" s="2" t="s">
        <v>35</v>
      </c>
      <c r="B13" s="4">
        <f>My_trades[[#This Row],[Date sold]]-My_trades[[#This Row],[Date added]]</f>
        <v>488</v>
      </c>
      <c r="C13" s="5">
        <f>(My_trades[[#This Row],[Sell Price]]-My_trades[[#This Row],[Buy Price]])*My_trades[[#This Row],[Quantity]]</f>
        <v>1.3598595032375105</v>
      </c>
      <c r="S13" s="11"/>
      <c r="T13" s="10"/>
      <c r="U13" s="10"/>
      <c r="V13" s="11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 x14ac:dyDescent="0.3">
      <c r="A14" s="2" t="s">
        <v>36</v>
      </c>
      <c r="B14" s="4">
        <f>My_trades[[#This Row],[Date sold]]-My_trades[[#This Row],[Date added]]</f>
        <v>109</v>
      </c>
      <c r="C14" s="5">
        <f>(My_trades[[#This Row],[Sell Price]]-My_trades[[#This Row],[Buy Price]])*My_trades[[#This Row],[Quantity]]</f>
        <v>2.9151706939834798</v>
      </c>
      <c r="S14" s="11"/>
      <c r="T14" s="10"/>
      <c r="U14" s="10"/>
      <c r="V14" s="11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x14ac:dyDescent="0.3">
      <c r="A15" s="2" t="s">
        <v>37</v>
      </c>
      <c r="B15" s="4">
        <f>My_trades[[#This Row],[Date sold]]-My_trades[[#This Row],[Date added]]</f>
        <v>668</v>
      </c>
      <c r="C15" s="5">
        <f>(My_trades[[#This Row],[Sell Price]]-My_trades[[#This Row],[Buy Price]])*My_trades[[#This Row],[Quantity]]</f>
        <v>0.52361641145730609</v>
      </c>
      <c r="S15" s="11"/>
      <c r="T15" s="10"/>
      <c r="U15" s="10"/>
      <c r="V15" s="11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46" x14ac:dyDescent="0.3">
      <c r="A16" s="2" t="s">
        <v>40</v>
      </c>
      <c r="B16" s="4">
        <f>My_trades[[#This Row],[Date sold]]-My_trades[[#This Row],[Date added]]</f>
        <v>267</v>
      </c>
      <c r="C16" s="5">
        <f>(My_trades[[#This Row],[Sell Price]]-My_trades[[#This Row],[Buy Price]])*My_trades[[#This Row],[Quantity]]</f>
        <v>-0.37738991121094789</v>
      </c>
      <c r="S16" s="11"/>
      <c r="T16" s="10"/>
      <c r="U16" s="10"/>
      <c r="V16" s="11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x14ac:dyDescent="0.3">
      <c r="A17" s="2" t="s">
        <v>41</v>
      </c>
      <c r="B17" s="4">
        <f>My_trades[[#This Row],[Date sold]]-My_trades[[#This Row],[Date added]]</f>
        <v>78</v>
      </c>
      <c r="C17" s="5">
        <f>(My_trades[[#This Row],[Sell Price]]-My_trades[[#This Row],[Buy Price]])*My_trades[[#This Row],[Quantity]]</f>
        <v>-4.0381767903821597</v>
      </c>
      <c r="S17" s="11"/>
      <c r="T17" s="10"/>
      <c r="U17" s="10"/>
      <c r="V17" s="11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 ht="14.4" customHeight="1" x14ac:dyDescent="0.3">
      <c r="A18" s="2" t="s">
        <v>44</v>
      </c>
      <c r="B18" s="4">
        <f>My_trades[[#This Row],[Date sold]]-My_trades[[#This Row],[Date added]]</f>
        <v>762</v>
      </c>
      <c r="C18" s="5">
        <f>(My_trades[[#This Row],[Sell Price]]-My_trades[[#This Row],[Buy Price]])*My_trades[[#This Row],[Quantity]]</f>
        <v>-0.17044592791049001</v>
      </c>
      <c r="E18" s="14" t="s">
        <v>250</v>
      </c>
      <c r="F18" s="15"/>
      <c r="G18" s="15"/>
      <c r="H18" s="15"/>
      <c r="I18" s="15"/>
      <c r="J18" s="15"/>
      <c r="K18" s="16"/>
      <c r="S18" s="11"/>
      <c r="T18" s="10"/>
      <c r="U18" s="10"/>
      <c r="V18" s="11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 x14ac:dyDescent="0.3">
      <c r="A19" s="2" t="s">
        <v>47</v>
      </c>
      <c r="B19" s="4">
        <f>My_trades[[#This Row],[Date sold]]-My_trades[[#This Row],[Date added]]</f>
        <v>623</v>
      </c>
      <c r="C19" s="5">
        <f>(My_trades[[#This Row],[Sell Price]]-My_trades[[#This Row],[Buy Price]])*My_trades[[#This Row],[Quantity]]</f>
        <v>0.44281898729743208</v>
      </c>
      <c r="E19" s="17"/>
      <c r="F19" s="18"/>
      <c r="G19" s="18"/>
      <c r="H19" s="18"/>
      <c r="I19" s="18"/>
      <c r="J19" s="18"/>
      <c r="K19" s="19"/>
      <c r="S19" s="11"/>
      <c r="T19" s="10"/>
      <c r="U19" s="10"/>
      <c r="V19" s="11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46" x14ac:dyDescent="0.3">
      <c r="A20" s="2" t="s">
        <v>50</v>
      </c>
      <c r="B20" s="4">
        <f>My_trades[[#This Row],[Date sold]]-My_trades[[#This Row],[Date added]]</f>
        <v>862</v>
      </c>
      <c r="C20" s="5">
        <f>(My_trades[[#This Row],[Sell Price]]-My_trades[[#This Row],[Buy Price]])*My_trades[[#This Row],[Quantity]]</f>
        <v>0.29609314466304898</v>
      </c>
      <c r="E20" s="17"/>
      <c r="F20" s="18"/>
      <c r="G20" s="18"/>
      <c r="H20" s="18"/>
      <c r="I20" s="18"/>
      <c r="J20" s="18"/>
      <c r="K20" s="19"/>
      <c r="S20" s="11"/>
      <c r="T20" s="10"/>
      <c r="U20" s="10"/>
      <c r="V20" s="11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spans="1:46" x14ac:dyDescent="0.3">
      <c r="A21" s="2" t="s">
        <v>51</v>
      </c>
      <c r="B21" s="4">
        <f>My_trades[[#This Row],[Date sold]]-My_trades[[#This Row],[Date added]]</f>
        <v>634</v>
      </c>
      <c r="C21" s="5">
        <f>(My_trades[[#This Row],[Sell Price]]-My_trades[[#This Row],[Buy Price]])*My_trades[[#This Row],[Quantity]]</f>
        <v>0.301704449179653</v>
      </c>
      <c r="E21" s="17"/>
      <c r="F21" s="18"/>
      <c r="G21" s="18"/>
      <c r="H21" s="18"/>
      <c r="I21" s="18"/>
      <c r="J21" s="18"/>
      <c r="K21" s="19"/>
      <c r="S21" s="11"/>
      <c r="T21" s="10"/>
      <c r="U21" s="10"/>
      <c r="V21" s="11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x14ac:dyDescent="0.3">
      <c r="A22" s="2" t="s">
        <v>52</v>
      </c>
      <c r="B22" s="4">
        <f>My_trades[[#This Row],[Date sold]]-My_trades[[#This Row],[Date added]]</f>
        <v>546</v>
      </c>
      <c r="C22" s="5">
        <f>(My_trades[[#This Row],[Sell Price]]-My_trades[[#This Row],[Buy Price]])*My_trades[[#This Row],[Quantity]]</f>
        <v>-0.61275828035882995</v>
      </c>
      <c r="E22" s="17"/>
      <c r="F22" s="18"/>
      <c r="G22" s="18"/>
      <c r="H22" s="18"/>
      <c r="I22" s="18"/>
      <c r="J22" s="18"/>
      <c r="K22" s="19"/>
      <c r="S22" s="11"/>
      <c r="T22" s="10"/>
      <c r="U22" s="10"/>
      <c r="V22" s="11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x14ac:dyDescent="0.3">
      <c r="A23" s="2" t="s">
        <v>55</v>
      </c>
      <c r="B23" s="4">
        <f>My_trades[[#This Row],[Date sold]]-My_trades[[#This Row],[Date added]]</f>
        <v>708</v>
      </c>
      <c r="C23" s="5">
        <f>(My_trades[[#This Row],[Sell Price]]-My_trades[[#This Row],[Buy Price]])*My_trades[[#This Row],[Quantity]]</f>
        <v>-2.5885468441152</v>
      </c>
      <c r="E23" s="17"/>
      <c r="F23" s="18"/>
      <c r="G23" s="18"/>
      <c r="H23" s="18"/>
      <c r="I23" s="18"/>
      <c r="J23" s="18"/>
      <c r="K23" s="19"/>
      <c r="S23" s="11"/>
      <c r="T23" s="10"/>
      <c r="U23" s="10"/>
      <c r="V23" s="11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x14ac:dyDescent="0.3">
      <c r="A24" s="2" t="s">
        <v>56</v>
      </c>
      <c r="B24" s="4">
        <f>My_trades[[#This Row],[Date sold]]-My_trades[[#This Row],[Date added]]</f>
        <v>547</v>
      </c>
      <c r="C24" s="5">
        <f>(My_trades[[#This Row],[Sell Price]]-My_trades[[#This Row],[Buy Price]])*My_trades[[#This Row],[Quantity]]</f>
        <v>0.76109127749102012</v>
      </c>
      <c r="E24" s="17"/>
      <c r="F24" s="18"/>
      <c r="G24" s="18"/>
      <c r="H24" s="18"/>
      <c r="I24" s="18"/>
      <c r="J24" s="18"/>
      <c r="K24" s="19"/>
      <c r="S24" s="11"/>
      <c r="T24" s="10"/>
      <c r="U24" s="10"/>
      <c r="V24" s="11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x14ac:dyDescent="0.3">
      <c r="A25" s="2" t="s">
        <v>59</v>
      </c>
      <c r="B25" s="4">
        <f>My_trades[[#This Row],[Date sold]]-My_trades[[#This Row],[Date added]]</f>
        <v>237</v>
      </c>
      <c r="C25" s="5">
        <f>(My_trades[[#This Row],[Sell Price]]-My_trades[[#This Row],[Buy Price]])*My_trades[[#This Row],[Quantity]]</f>
        <v>0.44720070488754604</v>
      </c>
      <c r="E25" s="20"/>
      <c r="F25" s="21"/>
      <c r="G25" s="21"/>
      <c r="H25" s="21"/>
      <c r="I25" s="21"/>
      <c r="J25" s="21"/>
      <c r="K25" s="22"/>
      <c r="S25" s="11"/>
      <c r="T25" s="10"/>
      <c r="U25" s="10"/>
      <c r="V25" s="11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x14ac:dyDescent="0.3">
      <c r="A26" s="2" t="s">
        <v>62</v>
      </c>
      <c r="B26" s="4">
        <f>My_trades[[#This Row],[Date sold]]-My_trades[[#This Row],[Date added]]</f>
        <v>51</v>
      </c>
      <c r="C26" s="5">
        <f>(My_trades[[#This Row],[Sell Price]]-My_trades[[#This Row],[Buy Price]])*My_trades[[#This Row],[Quantity]]</f>
        <v>-0.32528106858049388</v>
      </c>
      <c r="S26" s="11"/>
      <c r="T26" s="10"/>
      <c r="U26" s="10"/>
      <c r="V26" s="11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x14ac:dyDescent="0.3">
      <c r="A27" s="2" t="s">
        <v>63</v>
      </c>
      <c r="B27" s="4">
        <f>My_trades[[#This Row],[Date sold]]-My_trades[[#This Row],[Date added]]</f>
        <v>207</v>
      </c>
      <c r="C27" s="5">
        <f>(My_trades[[#This Row],[Sell Price]]-My_trades[[#This Row],[Buy Price]])*My_trades[[#This Row],[Quantity]]</f>
        <v>-5.4295326750647517</v>
      </c>
      <c r="S27" s="11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x14ac:dyDescent="0.3">
      <c r="A28" s="2" t="s">
        <v>64</v>
      </c>
      <c r="B28" s="4">
        <f>My_trades[[#This Row],[Date sold]]-My_trades[[#This Row],[Date added]]</f>
        <v>465</v>
      </c>
      <c r="C28" s="5">
        <f>(My_trades[[#This Row],[Sell Price]]-My_trades[[#This Row],[Buy Price]])*My_trades[[#This Row],[Quantity]]</f>
        <v>-3.8535105118851813</v>
      </c>
      <c r="I28"/>
      <c r="L28" s="6">
        <v>44599</v>
      </c>
      <c r="M28" s="7">
        <v>7</v>
      </c>
      <c r="N28" s="7">
        <v>0.81200798012546904</v>
      </c>
      <c r="O28" s="6">
        <v>45064</v>
      </c>
      <c r="P28" s="7">
        <v>0.26150647842758601</v>
      </c>
    </row>
    <row r="29" spans="1:46" x14ac:dyDescent="0.3">
      <c r="A29" s="2" t="s">
        <v>65</v>
      </c>
      <c r="B29" s="4">
        <f>My_trades[[#This Row],[Date sold]]-My_trades[[#This Row],[Date added]]</f>
        <v>557</v>
      </c>
      <c r="C29" s="5">
        <f>(My_trades[[#This Row],[Sell Price]]-My_trades[[#This Row],[Buy Price]])*My_trades[[#This Row],[Quantity]]</f>
        <v>-7.6959515288168023E-2</v>
      </c>
      <c r="I29"/>
      <c r="L29" s="6">
        <v>44492</v>
      </c>
      <c r="M29" s="7">
        <v>1</v>
      </c>
      <c r="N29" s="7">
        <v>0.27554760755730201</v>
      </c>
      <c r="O29" s="6">
        <v>45049</v>
      </c>
      <c r="P29" s="7">
        <v>0.19858809226913399</v>
      </c>
    </row>
    <row r="30" spans="1:46" x14ac:dyDescent="0.3">
      <c r="A30" s="2" t="s">
        <v>66</v>
      </c>
      <c r="B30" s="4">
        <f>My_trades[[#This Row],[Date sold]]-My_trades[[#This Row],[Date added]]</f>
        <v>513</v>
      </c>
      <c r="C30" s="5">
        <f>(My_trades[[#This Row],[Sell Price]]-My_trades[[#This Row],[Buy Price]])*My_trades[[#This Row],[Quantity]]</f>
        <v>2.432401333318098</v>
      </c>
      <c r="I30"/>
      <c r="L30" s="6">
        <v>44523</v>
      </c>
      <c r="M30" s="7">
        <v>3</v>
      </c>
      <c r="N30" s="7">
        <v>0.15183590676997499</v>
      </c>
      <c r="O30" s="6">
        <v>45036</v>
      </c>
      <c r="P30" s="7">
        <v>0.96263635120934099</v>
      </c>
    </row>
    <row r="31" spans="1:46" x14ac:dyDescent="0.3">
      <c r="A31" s="2" t="s">
        <v>67</v>
      </c>
      <c r="B31" s="4">
        <f>My_trades[[#This Row],[Date sold]]-My_trades[[#This Row],[Date added]]</f>
        <v>686</v>
      </c>
      <c r="C31" s="5">
        <f>(My_trades[[#This Row],[Sell Price]]-My_trades[[#This Row],[Buy Price]])*My_trades[[#This Row],[Quantity]]</f>
        <v>0.15328853698608502</v>
      </c>
      <c r="I31"/>
      <c r="L31" s="6">
        <v>44281</v>
      </c>
      <c r="M31" s="7">
        <v>1</v>
      </c>
      <c r="N31" s="7">
        <v>0.31751651418006399</v>
      </c>
      <c r="O31" s="6">
        <v>44967</v>
      </c>
      <c r="P31" s="7">
        <v>0.47080505116614901</v>
      </c>
    </row>
    <row r="32" spans="1:46" x14ac:dyDescent="0.3">
      <c r="A32" s="2" t="s">
        <v>68</v>
      </c>
      <c r="B32" s="4">
        <f>My_trades[[#This Row],[Date sold]]-My_trades[[#This Row],[Date added]]</f>
        <v>387</v>
      </c>
      <c r="C32" s="5">
        <f>(My_trades[[#This Row],[Sell Price]]-My_trades[[#This Row],[Buy Price]])*My_trades[[#This Row],[Quantity]]</f>
        <v>5.7730508510901872</v>
      </c>
      <c r="I32"/>
      <c r="L32" s="6">
        <v>44594</v>
      </c>
      <c r="M32" s="7">
        <v>7</v>
      </c>
      <c r="N32" s="7">
        <v>8.2508842921547004E-2</v>
      </c>
      <c r="O32" s="6">
        <v>44981</v>
      </c>
      <c r="P32" s="7">
        <v>0.90723039307728803</v>
      </c>
    </row>
    <row r="33" spans="1:23" x14ac:dyDescent="0.3">
      <c r="A33" s="2" t="s">
        <v>69</v>
      </c>
      <c r="B33" s="4">
        <f>My_trades[[#This Row],[Date sold]]-My_trades[[#This Row],[Date added]]</f>
        <v>795</v>
      </c>
      <c r="C33" s="5">
        <f>(My_trades[[#This Row],[Sell Price]]-My_trades[[#This Row],[Buy Price]])*My_trades[[#This Row],[Quantity]]</f>
        <v>5.8835676533436034</v>
      </c>
      <c r="I33"/>
      <c r="L33" s="6">
        <v>44239</v>
      </c>
      <c r="M33" s="7">
        <v>9</v>
      </c>
      <c r="N33" s="7">
        <v>3.8415611438702597E-2</v>
      </c>
      <c r="O33" s="6">
        <v>45034</v>
      </c>
      <c r="P33" s="7">
        <v>0.69214535069910299</v>
      </c>
    </row>
    <row r="34" spans="1:23" x14ac:dyDescent="0.3">
      <c r="A34" s="2" t="s">
        <v>71</v>
      </c>
      <c r="B34" s="4">
        <f>My_trades[[#This Row],[Date sold]]-My_trades[[#This Row],[Date added]]</f>
        <v>499</v>
      </c>
      <c r="C34" s="5">
        <f>(My_trades[[#This Row],[Sell Price]]-My_trades[[#This Row],[Buy Price]])*My_trades[[#This Row],[Quantity]]</f>
        <v>2.9976291326534672</v>
      </c>
      <c r="I34"/>
      <c r="L34" s="6">
        <v>44541</v>
      </c>
      <c r="M34" s="7">
        <v>9</v>
      </c>
      <c r="N34" s="7">
        <v>0.215773738787989</v>
      </c>
      <c r="O34" s="6">
        <v>45040</v>
      </c>
      <c r="P34" s="7">
        <v>0.54884364241615202</v>
      </c>
    </row>
    <row r="35" spans="1:23" x14ac:dyDescent="0.3">
      <c r="A35" s="2" t="s">
        <v>74</v>
      </c>
      <c r="B35" s="4">
        <f>My_trades[[#This Row],[Date sold]]-My_trades[[#This Row],[Date added]]</f>
        <v>607</v>
      </c>
      <c r="C35" s="5">
        <f>(My_trades[[#This Row],[Sell Price]]-My_trades[[#This Row],[Buy Price]])*My_trades[[#This Row],[Quantity]]</f>
        <v>-2.7592838303516798</v>
      </c>
      <c r="I35"/>
      <c r="L35" s="6">
        <v>44446</v>
      </c>
      <c r="M35" s="7">
        <v>5</v>
      </c>
      <c r="N35" s="7">
        <v>0.72585135876436702</v>
      </c>
      <c r="O35" s="6">
        <v>45053</v>
      </c>
      <c r="P35" s="7">
        <v>0.173994592694031</v>
      </c>
    </row>
    <row r="36" spans="1:23" x14ac:dyDescent="0.3">
      <c r="A36" s="2" t="s">
        <v>75</v>
      </c>
      <c r="B36" s="4">
        <f>My_trades[[#This Row],[Date sold]]-My_trades[[#This Row],[Date added]]</f>
        <v>434</v>
      </c>
      <c r="C36" s="5">
        <f>(My_trades[[#This Row],[Sell Price]]-My_trades[[#This Row],[Buy Price]])*My_trades[[#This Row],[Quantity]]</f>
        <v>-0.62411902987622447</v>
      </c>
      <c r="I36"/>
      <c r="L36" s="6">
        <v>44554</v>
      </c>
      <c r="M36" s="7">
        <v>8</v>
      </c>
      <c r="N36" s="7">
        <v>0.68255570090641804</v>
      </c>
      <c r="O36" s="6">
        <v>44988</v>
      </c>
      <c r="P36" s="7">
        <v>0.60454082217188998</v>
      </c>
    </row>
    <row r="37" spans="1:23" x14ac:dyDescent="0.3">
      <c r="A37" s="2" t="s">
        <v>76</v>
      </c>
      <c r="B37" s="4">
        <f>My_trades[[#This Row],[Date sold]]-My_trades[[#This Row],[Date added]]</f>
        <v>851</v>
      </c>
      <c r="C37" s="5">
        <f>(My_trades[[#This Row],[Sell Price]]-My_trades[[#This Row],[Buy Price]])*My_trades[[#This Row],[Quantity]]</f>
        <v>-1.4878863200993582</v>
      </c>
      <c r="I37"/>
      <c r="L37" s="6">
        <v>44198</v>
      </c>
      <c r="M37" s="7">
        <v>3</v>
      </c>
      <c r="N37" s="7">
        <v>0.80123839065137303</v>
      </c>
      <c r="O37" s="6">
        <v>45049</v>
      </c>
      <c r="P37" s="7">
        <v>0.30527628395158701</v>
      </c>
    </row>
    <row r="38" spans="1:23" x14ac:dyDescent="0.3">
      <c r="A38" s="2" t="s">
        <v>77</v>
      </c>
      <c r="B38" s="4">
        <f>My_trades[[#This Row],[Date sold]]-My_trades[[#This Row],[Date added]]</f>
        <v>130</v>
      </c>
      <c r="C38" s="5">
        <f>(My_trades[[#This Row],[Sell Price]]-My_trades[[#This Row],[Buy Price]])*My_trades[[#This Row],[Quantity]]</f>
        <v>-0.41919267769104795</v>
      </c>
      <c r="I38"/>
      <c r="L38" s="6">
        <v>44838</v>
      </c>
      <c r="M38" s="7">
        <v>4</v>
      </c>
      <c r="N38" s="7">
        <v>0.86036052556079601</v>
      </c>
      <c r="O38" s="6">
        <v>44968</v>
      </c>
      <c r="P38" s="7">
        <v>0.75556235613803402</v>
      </c>
    </row>
    <row r="39" spans="1:23" x14ac:dyDescent="0.3">
      <c r="A39" s="2" t="s">
        <v>78</v>
      </c>
      <c r="B39" s="4">
        <f>My_trades[[#This Row],[Date sold]]-My_trades[[#This Row],[Date added]]</f>
        <v>448</v>
      </c>
      <c r="C39" s="5">
        <f>(My_trades[[#This Row],[Sell Price]]-My_trades[[#This Row],[Buy Price]])*My_trades[[#This Row],[Quantity]]</f>
        <v>-2.2252395811399799</v>
      </c>
      <c r="I39"/>
      <c r="L39" s="6">
        <v>44503</v>
      </c>
      <c r="M39" s="7">
        <v>3</v>
      </c>
      <c r="N39" s="7">
        <v>0.89411437906362101</v>
      </c>
      <c r="O39" s="6">
        <v>44951</v>
      </c>
      <c r="P39" s="7">
        <v>0.15236785201696099</v>
      </c>
    </row>
    <row r="40" spans="1:23" x14ac:dyDescent="0.3">
      <c r="A40" s="2" t="s">
        <v>79</v>
      </c>
      <c r="B40" s="4">
        <f>My_trades[[#This Row],[Date sold]]-My_trades[[#This Row],[Date added]]</f>
        <v>482</v>
      </c>
      <c r="C40" s="5">
        <f>(My_trades[[#This Row],[Sell Price]]-My_trades[[#This Row],[Buy Price]])*My_trades[[#This Row],[Quantity]]</f>
        <v>-4.8240735386516205</v>
      </c>
      <c r="I40"/>
      <c r="S40" s="6">
        <v>44579</v>
      </c>
      <c r="T40" s="7">
        <v>10</v>
      </c>
      <c r="U40" s="7">
        <v>0.93792316902615502</v>
      </c>
      <c r="V40" s="6">
        <v>45061</v>
      </c>
      <c r="W40" s="7">
        <v>0.45551581516099299</v>
      </c>
    </row>
    <row r="41" spans="1:23" x14ac:dyDescent="0.3">
      <c r="A41" s="2" t="s">
        <v>81</v>
      </c>
      <c r="B41" s="4">
        <f>My_trades[[#This Row],[Date sold]]-My_trades[[#This Row],[Date added]]</f>
        <v>71</v>
      </c>
      <c r="C41" s="5">
        <f>(My_trades[[#This Row],[Sell Price]]-My_trades[[#This Row],[Buy Price]])*My_trades[[#This Row],[Quantity]]</f>
        <v>-1.6706742578156639</v>
      </c>
      <c r="I41"/>
      <c r="S41" s="6">
        <v>44898</v>
      </c>
      <c r="T41" s="7">
        <v>4</v>
      </c>
      <c r="U41" s="7">
        <v>0.70777097045034598</v>
      </c>
      <c r="V41" s="6">
        <v>44969</v>
      </c>
      <c r="W41" s="7">
        <v>0.29010240599643</v>
      </c>
    </row>
    <row r="42" spans="1:23" x14ac:dyDescent="0.3">
      <c r="A42" s="2" t="s">
        <v>82</v>
      </c>
      <c r="B42" s="4">
        <f>My_trades[[#This Row],[Date sold]]-My_trades[[#This Row],[Date added]]</f>
        <v>743</v>
      </c>
      <c r="C42" s="5">
        <f>(My_trades[[#This Row],[Sell Price]]-My_trades[[#This Row],[Buy Price]])*My_trades[[#This Row],[Quantity]]</f>
        <v>2.0811125741674505</v>
      </c>
      <c r="I42"/>
      <c r="S42" s="6">
        <v>44315</v>
      </c>
      <c r="T42" s="7">
        <v>10</v>
      </c>
      <c r="U42" s="7">
        <v>0.32809052787687998</v>
      </c>
      <c r="V42" s="6">
        <v>45058</v>
      </c>
      <c r="W42" s="7">
        <v>0.53620178529362506</v>
      </c>
    </row>
    <row r="43" spans="1:23" x14ac:dyDescent="0.3">
      <c r="A43" s="2" t="s">
        <v>83</v>
      </c>
      <c r="B43" s="4">
        <f>My_trades[[#This Row],[Date sold]]-My_trades[[#This Row],[Date added]]</f>
        <v>106</v>
      </c>
      <c r="C43" s="5">
        <f>(My_trades[[#This Row],[Sell Price]]-My_trades[[#This Row],[Buy Price]])*My_trades[[#This Row],[Quantity]]</f>
        <v>1.7198007376601101</v>
      </c>
      <c r="I43"/>
      <c r="S43" s="6">
        <v>44921</v>
      </c>
      <c r="T43" s="7">
        <v>10</v>
      </c>
      <c r="U43" s="7">
        <v>0.20148931810460499</v>
      </c>
      <c r="V43" s="6">
        <v>45027</v>
      </c>
      <c r="W43" s="7">
        <v>0.37346939187061601</v>
      </c>
    </row>
    <row r="44" spans="1:23" x14ac:dyDescent="0.3">
      <c r="A44" s="2" t="s">
        <v>84</v>
      </c>
      <c r="B44" s="4">
        <f>My_trades[[#This Row],[Date sold]]-My_trades[[#This Row],[Date added]]</f>
        <v>277</v>
      </c>
      <c r="C44" s="5">
        <f>(My_trades[[#This Row],[Sell Price]]-My_trades[[#This Row],[Buy Price]])*My_trades[[#This Row],[Quantity]]</f>
        <v>5.6557296266118122</v>
      </c>
      <c r="I44"/>
      <c r="S44" s="6">
        <v>44708</v>
      </c>
      <c r="T44" s="7">
        <v>6</v>
      </c>
      <c r="U44" s="7">
        <v>3.5993791246495099E-2</v>
      </c>
      <c r="V44" s="6">
        <v>44985</v>
      </c>
      <c r="W44" s="7">
        <v>0.97861539568179701</v>
      </c>
    </row>
    <row r="45" spans="1:23" x14ac:dyDescent="0.3">
      <c r="A45" s="2" t="s">
        <v>85</v>
      </c>
      <c r="B45" s="4">
        <f>My_trades[[#This Row],[Date sold]]-My_trades[[#This Row],[Date added]]</f>
        <v>227</v>
      </c>
      <c r="C45" s="5">
        <f>(My_trades[[#This Row],[Sell Price]]-My_trades[[#This Row],[Buy Price]])*My_trades[[#This Row],[Quantity]]</f>
        <v>-0.55470984456488792</v>
      </c>
      <c r="I45"/>
      <c r="S45" s="6">
        <v>44795</v>
      </c>
      <c r="T45" s="7">
        <v>1</v>
      </c>
      <c r="U45" s="7">
        <v>0.71704537744139196</v>
      </c>
      <c r="V45" s="6">
        <v>45022</v>
      </c>
      <c r="W45" s="7">
        <v>0.16233553287650401</v>
      </c>
    </row>
    <row r="46" spans="1:23" x14ac:dyDescent="0.3">
      <c r="A46" s="2" t="s">
        <v>86</v>
      </c>
      <c r="B46" s="4">
        <f>My_trades[[#This Row],[Date sold]]-My_trades[[#This Row],[Date added]]</f>
        <v>707</v>
      </c>
      <c r="C46" s="5">
        <f>(My_trades[[#This Row],[Sell Price]]-My_trades[[#This Row],[Buy Price]])*My_trades[[#This Row],[Quantity]]</f>
        <v>-5.0188697949823471</v>
      </c>
      <c r="I46"/>
      <c r="S46" s="6">
        <v>44338</v>
      </c>
      <c r="T46" s="7">
        <v>9</v>
      </c>
      <c r="U46" s="7">
        <v>0.71155870482197403</v>
      </c>
      <c r="V46" s="6">
        <v>45045</v>
      </c>
      <c r="W46" s="7">
        <v>0.15390650537949099</v>
      </c>
    </row>
    <row r="47" spans="1:23" x14ac:dyDescent="0.3">
      <c r="A47" s="2" t="s">
        <v>87</v>
      </c>
      <c r="B47" s="4">
        <f>My_trades[[#This Row],[Date sold]]-My_trades[[#This Row],[Date added]]</f>
        <v>730</v>
      </c>
      <c r="C47" s="5">
        <f>(My_trades[[#This Row],[Sell Price]]-My_trades[[#This Row],[Buy Price]])*My_trades[[#This Row],[Quantity]]</f>
        <v>-0.35893634273319763</v>
      </c>
      <c r="I47"/>
      <c r="S47" s="6">
        <v>44274</v>
      </c>
      <c r="T47" s="7">
        <v>6</v>
      </c>
      <c r="U47" s="7">
        <v>6.4033223650055093E-2</v>
      </c>
      <c r="V47" s="6">
        <v>45004</v>
      </c>
      <c r="W47" s="7">
        <v>4.2104998611888203E-3</v>
      </c>
    </row>
    <row r="48" spans="1:23" x14ac:dyDescent="0.3">
      <c r="A48" s="2" t="s">
        <v>88</v>
      </c>
      <c r="B48" s="4">
        <f>My_trades[[#This Row],[Date sold]]-My_trades[[#This Row],[Date added]]</f>
        <v>326</v>
      </c>
      <c r="C48" s="5">
        <f>(My_trades[[#This Row],[Sell Price]]-My_trades[[#This Row],[Buy Price]])*My_trades[[#This Row],[Quantity]]</f>
        <v>-6.5528850516359043</v>
      </c>
      <c r="I48"/>
      <c r="S48" s="6">
        <v>44725</v>
      </c>
      <c r="T48" s="7">
        <v>7</v>
      </c>
      <c r="U48" s="7">
        <v>0.97988976578176401</v>
      </c>
      <c r="V48" s="6">
        <v>45051</v>
      </c>
      <c r="W48" s="7">
        <v>4.3763329833777703E-2</v>
      </c>
    </row>
    <row r="49" spans="1:23" x14ac:dyDescent="0.3">
      <c r="A49" s="2" t="s">
        <v>89</v>
      </c>
      <c r="B49" s="4">
        <f>My_trades[[#This Row],[Date sold]]-My_trades[[#This Row],[Date added]]</f>
        <v>588</v>
      </c>
      <c r="C49" s="5">
        <f>(My_trades[[#This Row],[Sell Price]]-My_trades[[#This Row],[Buy Price]])*My_trades[[#This Row],[Quantity]]</f>
        <v>-3.32862008852215</v>
      </c>
      <c r="I49"/>
      <c r="S49" s="6">
        <v>44340</v>
      </c>
      <c r="T49" s="7">
        <v>10</v>
      </c>
      <c r="U49" s="7">
        <v>0.702645841021446</v>
      </c>
      <c r="V49" s="6">
        <v>44928</v>
      </c>
      <c r="W49" s="7">
        <v>0.369783832169231</v>
      </c>
    </row>
    <row r="50" spans="1:23" x14ac:dyDescent="0.3">
      <c r="A50" s="2" t="s">
        <v>90</v>
      </c>
      <c r="B50" s="4">
        <f>My_trades[[#This Row],[Date sold]]-My_trades[[#This Row],[Date added]]</f>
        <v>524</v>
      </c>
      <c r="C50" s="5">
        <f>(My_trades[[#This Row],[Sell Price]]-My_trades[[#This Row],[Buy Price]])*My_trades[[#This Row],[Quantity]]</f>
        <v>1.8146635979030941</v>
      </c>
      <c r="I50"/>
      <c r="S50" s="6">
        <v>44502</v>
      </c>
      <c r="T50" s="7">
        <v>3</v>
      </c>
      <c r="U50" s="7">
        <v>6.7860349366877903E-2</v>
      </c>
      <c r="V50" s="6">
        <v>45026</v>
      </c>
      <c r="W50" s="7">
        <v>0.67274821533457596</v>
      </c>
    </row>
    <row r="51" spans="1:23" x14ac:dyDescent="0.3">
      <c r="A51" s="2" t="s">
        <v>91</v>
      </c>
      <c r="B51" s="4">
        <f>My_trades[[#This Row],[Date sold]]-My_trades[[#This Row],[Date added]]</f>
        <v>428</v>
      </c>
      <c r="C51" s="5">
        <f>(My_trades[[#This Row],[Sell Price]]-My_trades[[#This Row],[Buy Price]])*My_trades[[#This Row],[Quantity]]</f>
        <v>2.075152539482163</v>
      </c>
      <c r="I51"/>
      <c r="S51" s="6">
        <v>44560</v>
      </c>
      <c r="T51" s="7">
        <v>9</v>
      </c>
      <c r="U51" s="7">
        <v>0.407593318710052</v>
      </c>
      <c r="V51" s="6">
        <v>44988</v>
      </c>
      <c r="W51" s="7">
        <v>0.63816582309695902</v>
      </c>
    </row>
    <row r="52" spans="1:23" x14ac:dyDescent="0.3">
      <c r="A52" s="2" t="s">
        <v>92</v>
      </c>
      <c r="B52" s="4">
        <f>My_trades[[#This Row],[Date sold]]-My_trades[[#This Row],[Date added]]</f>
        <v>615</v>
      </c>
      <c r="C52" s="5">
        <f>(My_trades[[#This Row],[Sell Price]]-My_trades[[#This Row],[Buy Price]])*My_trades[[#This Row],[Quantity]]</f>
        <v>-1.5872857242842442</v>
      </c>
      <c r="I52"/>
      <c r="S52" s="6">
        <v>44361</v>
      </c>
      <c r="T52" s="7">
        <v>4</v>
      </c>
      <c r="U52" s="7">
        <v>0.52920695915069904</v>
      </c>
      <c r="V52" s="6">
        <v>44976</v>
      </c>
      <c r="W52" s="7">
        <v>0.13238552807963799</v>
      </c>
    </row>
    <row r="53" spans="1:23" x14ac:dyDescent="0.3">
      <c r="A53" s="2" t="s">
        <v>93</v>
      </c>
      <c r="B53" s="4">
        <f>My_trades[[#This Row],[Date sold]]-My_trades[[#This Row],[Date added]]</f>
        <v>622</v>
      </c>
      <c r="C53" s="5">
        <f>(My_trades[[#This Row],[Sell Price]]-My_trades[[#This Row],[Buy Price]])*My_trades[[#This Row],[Quantity]]</f>
        <v>-0.30381566673822691</v>
      </c>
      <c r="I53"/>
      <c r="S53" s="6">
        <v>44343</v>
      </c>
      <c r="T53" s="7">
        <v>1</v>
      </c>
      <c r="U53" s="7">
        <v>0.83003541427247696</v>
      </c>
      <c r="V53" s="6">
        <v>44965</v>
      </c>
      <c r="W53" s="7">
        <v>0.52621974753425005</v>
      </c>
    </row>
    <row r="54" spans="1:23" x14ac:dyDescent="0.3">
      <c r="A54" s="2" t="s">
        <v>94</v>
      </c>
      <c r="B54" s="4">
        <f>My_trades[[#This Row],[Date sold]]-My_trades[[#This Row],[Date added]]</f>
        <v>635</v>
      </c>
      <c r="C54" s="5">
        <f>(My_trades[[#This Row],[Sell Price]]-My_trades[[#This Row],[Buy Price]])*My_trades[[#This Row],[Quantity]]</f>
        <v>6.5021316256868396</v>
      </c>
      <c r="I54"/>
      <c r="S54" s="6">
        <v>44382</v>
      </c>
      <c r="T54" s="7">
        <v>9</v>
      </c>
      <c r="U54" s="7">
        <v>0.13503720101241901</v>
      </c>
      <c r="V54" s="6">
        <v>45017</v>
      </c>
      <c r="W54" s="7">
        <v>0.85749627053317901</v>
      </c>
    </row>
    <row r="55" spans="1:23" x14ac:dyDescent="0.3">
      <c r="A55" s="2" t="s">
        <v>95</v>
      </c>
      <c r="B55" s="4">
        <f>My_trades[[#This Row],[Date sold]]-My_trades[[#This Row],[Date added]]</f>
        <v>324</v>
      </c>
      <c r="C55" s="5">
        <f>(My_trades[[#This Row],[Sell Price]]-My_trades[[#This Row],[Buy Price]])*My_trades[[#This Row],[Quantity]]</f>
        <v>1.111511838610578</v>
      </c>
      <c r="I55"/>
      <c r="S55" s="6">
        <v>44680</v>
      </c>
      <c r="T55" s="7">
        <v>2</v>
      </c>
      <c r="U55" s="7">
        <v>0.18457397753690899</v>
      </c>
      <c r="V55" s="6">
        <v>45004</v>
      </c>
      <c r="W55" s="7">
        <v>0.74032989684219797</v>
      </c>
    </row>
    <row r="56" spans="1:23" x14ac:dyDescent="0.3">
      <c r="A56" s="2" t="s">
        <v>96</v>
      </c>
      <c r="B56" s="4">
        <f>My_trades[[#This Row],[Date sold]]-My_trades[[#This Row],[Date added]]</f>
        <v>162</v>
      </c>
      <c r="C56" s="5">
        <f>(My_trades[[#This Row],[Sell Price]]-My_trades[[#This Row],[Buy Price]])*My_trades[[#This Row],[Quantity]]</f>
        <v>2.824521311271774</v>
      </c>
      <c r="I56"/>
      <c r="S56" s="6">
        <v>44816</v>
      </c>
      <c r="T56" s="7">
        <v>7</v>
      </c>
      <c r="U56" s="7">
        <v>1.4827494446379701E-2</v>
      </c>
      <c r="V56" s="6">
        <v>44978</v>
      </c>
      <c r="W56" s="7">
        <v>0.41833053891377597</v>
      </c>
    </row>
    <row r="57" spans="1:23" x14ac:dyDescent="0.3">
      <c r="A57" s="2" t="s">
        <v>97</v>
      </c>
      <c r="B57" s="4">
        <f>My_trades[[#This Row],[Date sold]]-My_trades[[#This Row],[Date added]]</f>
        <v>793</v>
      </c>
      <c r="C57" s="5">
        <f>(My_trades[[#This Row],[Sell Price]]-My_trades[[#This Row],[Buy Price]])*My_trades[[#This Row],[Quantity]]</f>
        <v>2.2708822152455479</v>
      </c>
      <c r="I57"/>
      <c r="S57" s="6">
        <v>44278</v>
      </c>
      <c r="T57" s="7">
        <v>4</v>
      </c>
      <c r="U57" s="7">
        <v>0.27577765609607802</v>
      </c>
      <c r="V57" s="6">
        <v>45071</v>
      </c>
      <c r="W57" s="7">
        <v>0.84349820990746505</v>
      </c>
    </row>
    <row r="58" spans="1:23" x14ac:dyDescent="0.3">
      <c r="A58" s="2" t="s">
        <v>98</v>
      </c>
      <c r="B58" s="4">
        <f>My_trades[[#This Row],[Date sold]]-My_trades[[#This Row],[Date added]]</f>
        <v>344</v>
      </c>
      <c r="C58" s="5">
        <f>(My_trades[[#This Row],[Sell Price]]-My_trades[[#This Row],[Buy Price]])*My_trades[[#This Row],[Quantity]]</f>
        <v>1.2820395994142724</v>
      </c>
      <c r="I58"/>
      <c r="S58" s="6">
        <v>44667</v>
      </c>
      <c r="T58" s="7">
        <v>2</v>
      </c>
      <c r="U58" s="7">
        <v>1.4798370860461801E-2</v>
      </c>
      <c r="V58" s="6">
        <v>45011</v>
      </c>
      <c r="W58" s="7">
        <v>0.65581817056759795</v>
      </c>
    </row>
    <row r="59" spans="1:23" x14ac:dyDescent="0.3">
      <c r="A59" s="2" t="s">
        <v>99</v>
      </c>
      <c r="B59" s="4">
        <f>My_trades[[#This Row],[Date sold]]-My_trades[[#This Row],[Date added]]</f>
        <v>609</v>
      </c>
      <c r="C59" s="5">
        <f>(My_trades[[#This Row],[Sell Price]]-My_trades[[#This Row],[Buy Price]])*My_trades[[#This Row],[Quantity]]</f>
        <v>-2.660822045115486</v>
      </c>
      <c r="I59"/>
      <c r="S59" s="6">
        <v>44420</v>
      </c>
      <c r="T59" s="7">
        <v>4</v>
      </c>
      <c r="U59" s="7">
        <v>0.71929697815108395</v>
      </c>
      <c r="V59" s="6">
        <v>45029</v>
      </c>
      <c r="W59" s="7">
        <v>5.4091466872212501E-2</v>
      </c>
    </row>
    <row r="60" spans="1:23" x14ac:dyDescent="0.3">
      <c r="A60" s="2" t="s">
        <v>100</v>
      </c>
      <c r="B60" s="4">
        <f>My_trades[[#This Row],[Date sold]]-My_trades[[#This Row],[Date added]]</f>
        <v>30</v>
      </c>
      <c r="C60" s="5">
        <f>(My_trades[[#This Row],[Sell Price]]-My_trades[[#This Row],[Buy Price]])*My_trades[[#This Row],[Quantity]]</f>
        <v>1.1391515254013935</v>
      </c>
      <c r="I60"/>
      <c r="S60" s="6">
        <v>44922</v>
      </c>
      <c r="T60" s="7">
        <v>6</v>
      </c>
      <c r="U60" s="7">
        <v>0.45894107528788403</v>
      </c>
      <c r="V60" s="6">
        <v>44952</v>
      </c>
      <c r="W60" s="7">
        <v>0.64879966285478297</v>
      </c>
    </row>
    <row r="61" spans="1:23" x14ac:dyDescent="0.3">
      <c r="A61" s="2" t="s">
        <v>101</v>
      </c>
      <c r="B61" s="4">
        <f>My_trades[[#This Row],[Date sold]]-My_trades[[#This Row],[Date added]]</f>
        <v>644</v>
      </c>
      <c r="C61" s="5">
        <f>(My_trades[[#This Row],[Sell Price]]-My_trades[[#This Row],[Buy Price]])*My_trades[[#This Row],[Quantity]]</f>
        <v>1.1964639334637579</v>
      </c>
      <c r="I61"/>
      <c r="S61" s="6">
        <v>44356</v>
      </c>
      <c r="T61" s="7">
        <v>6</v>
      </c>
      <c r="U61" s="7">
        <v>0.75369284563293804</v>
      </c>
      <c r="V61" s="6">
        <v>45000</v>
      </c>
      <c r="W61" s="7">
        <v>0.95310350121023102</v>
      </c>
    </row>
    <row r="62" spans="1:23" x14ac:dyDescent="0.3">
      <c r="A62" s="2" t="s">
        <v>104</v>
      </c>
      <c r="B62" s="4">
        <f>My_trades[[#This Row],[Date sold]]-My_trades[[#This Row],[Date added]]</f>
        <v>705</v>
      </c>
      <c r="C62" s="5">
        <f>(My_trades[[#This Row],[Sell Price]]-My_trades[[#This Row],[Buy Price]])*My_trades[[#This Row],[Quantity]]</f>
        <v>-4.4499802946322493</v>
      </c>
      <c r="I62"/>
      <c r="S62" s="6">
        <v>44315</v>
      </c>
      <c r="T62" s="7">
        <v>7</v>
      </c>
      <c r="U62" s="7">
        <v>0.73835370024837998</v>
      </c>
      <c r="V62" s="6">
        <v>45020</v>
      </c>
      <c r="W62" s="7">
        <v>0.10264222958663</v>
      </c>
    </row>
    <row r="63" spans="1:23" x14ac:dyDescent="0.3">
      <c r="A63" s="2" t="s">
        <v>105</v>
      </c>
      <c r="B63" s="4">
        <f>My_trades[[#This Row],[Date sold]]-My_trades[[#This Row],[Date added]]</f>
        <v>181</v>
      </c>
      <c r="C63" s="5">
        <f>(My_trades[[#This Row],[Sell Price]]-My_trades[[#This Row],[Buy Price]])*My_trades[[#This Row],[Quantity]]</f>
        <v>0.4006979438649676</v>
      </c>
      <c r="I63"/>
      <c r="S63" s="6">
        <v>44860</v>
      </c>
      <c r="T63" s="7">
        <v>8</v>
      </c>
      <c r="U63" s="7">
        <v>0.585256316656942</v>
      </c>
      <c r="V63" s="6">
        <v>45041</v>
      </c>
      <c r="W63" s="7">
        <v>0.63534355964006295</v>
      </c>
    </row>
    <row r="64" spans="1:23" x14ac:dyDescent="0.3">
      <c r="A64" s="2" t="s">
        <v>106</v>
      </c>
      <c r="B64" s="4">
        <f>My_trades[[#This Row],[Date sold]]-My_trades[[#This Row],[Date added]]</f>
        <v>617</v>
      </c>
      <c r="C64" s="5">
        <f>(My_trades[[#This Row],[Sell Price]]-My_trades[[#This Row],[Buy Price]])*My_trades[[#This Row],[Quantity]]</f>
        <v>-4.9242570254792817</v>
      </c>
      <c r="I64"/>
      <c r="S64" s="6">
        <v>44340</v>
      </c>
      <c r="T64" s="7">
        <v>9</v>
      </c>
      <c r="U64" s="7">
        <v>0.87646719833682096</v>
      </c>
      <c r="V64" s="6">
        <v>44957</v>
      </c>
      <c r="W64" s="7">
        <v>0.32932752883912297</v>
      </c>
    </row>
    <row r="65" spans="1:23" x14ac:dyDescent="0.3">
      <c r="A65" s="2" t="s">
        <v>107</v>
      </c>
      <c r="B65" s="4">
        <f>My_trades[[#This Row],[Date sold]]-My_trades[[#This Row],[Date added]]</f>
        <v>281</v>
      </c>
      <c r="C65" s="5">
        <f>(My_trades[[#This Row],[Sell Price]]-My_trades[[#This Row],[Buy Price]])*My_trades[[#This Row],[Quantity]]</f>
        <v>0.56354077591473983</v>
      </c>
      <c r="I65"/>
      <c r="S65" s="6">
        <v>44773</v>
      </c>
      <c r="T65" s="7">
        <v>5</v>
      </c>
      <c r="U65" s="7">
        <v>0.68720157697523698</v>
      </c>
      <c r="V65" s="6">
        <v>45054</v>
      </c>
      <c r="W65" s="7">
        <v>0.79990973215818495</v>
      </c>
    </row>
    <row r="66" spans="1:23" x14ac:dyDescent="0.3">
      <c r="A66" s="2" t="s">
        <v>108</v>
      </c>
      <c r="B66" s="4">
        <f>My_trades[[#This Row],[Date sold]]-My_trades[[#This Row],[Date added]]</f>
        <v>688</v>
      </c>
      <c r="C66" s="5">
        <f>(My_trades[[#This Row],[Sell Price]]-My_trades[[#This Row],[Buy Price]])*My_trades[[#This Row],[Quantity]]</f>
        <v>-3.0697853937032005E-2</v>
      </c>
      <c r="I66"/>
      <c r="S66" s="6">
        <v>44347</v>
      </c>
      <c r="T66" s="7">
        <v>1</v>
      </c>
      <c r="U66" s="7">
        <v>0.48588703608226103</v>
      </c>
      <c r="V66" s="6">
        <v>45035</v>
      </c>
      <c r="W66" s="7">
        <v>0.45518918214522902</v>
      </c>
    </row>
    <row r="67" spans="1:23" x14ac:dyDescent="0.3">
      <c r="A67" s="2" t="s">
        <v>109</v>
      </c>
      <c r="B67" s="4">
        <f>My_trades[[#This Row],[Date sold]]-My_trades[[#This Row],[Date added]]</f>
        <v>355</v>
      </c>
      <c r="C67" s="5">
        <f>(My_trades[[#This Row],[Sell Price]]-My_trades[[#This Row],[Buy Price]])*My_trades[[#This Row],[Quantity]]</f>
        <v>-0.57038561737306004</v>
      </c>
      <c r="I67"/>
      <c r="S67" s="6">
        <v>44659</v>
      </c>
      <c r="T67" s="7">
        <v>2</v>
      </c>
      <c r="U67" s="7">
        <v>0.68555193640676504</v>
      </c>
      <c r="V67" s="6">
        <v>45014</v>
      </c>
      <c r="W67" s="7">
        <v>0.40035912772023502</v>
      </c>
    </row>
    <row r="68" spans="1:23" x14ac:dyDescent="0.3">
      <c r="A68" s="2" t="s">
        <v>110</v>
      </c>
      <c r="B68" s="4">
        <f>My_trades[[#This Row],[Date sold]]-My_trades[[#This Row],[Date added]]</f>
        <v>257</v>
      </c>
      <c r="C68" s="5">
        <f>(My_trades[[#This Row],[Sell Price]]-My_trades[[#This Row],[Buy Price]])*My_trades[[#This Row],[Quantity]]</f>
        <v>-0.42779265355129403</v>
      </c>
      <c r="I68"/>
      <c r="S68" s="6">
        <v>44679</v>
      </c>
      <c r="T68" s="7">
        <v>1</v>
      </c>
      <c r="U68" s="7">
        <v>0.574831092396204</v>
      </c>
      <c r="V68" s="6">
        <v>44936</v>
      </c>
      <c r="W68" s="7">
        <v>0.14703843884491</v>
      </c>
    </row>
    <row r="69" spans="1:23" x14ac:dyDescent="0.3">
      <c r="A69" s="2" t="s">
        <v>111</v>
      </c>
      <c r="B69" s="4">
        <f>My_trades[[#This Row],[Date sold]]-My_trades[[#This Row],[Date added]]</f>
        <v>204</v>
      </c>
      <c r="C69" s="5">
        <f>(My_trades[[#This Row],[Sell Price]]-My_trades[[#This Row],[Buy Price]])*My_trades[[#This Row],[Quantity]]</f>
        <v>-2.5716032628258279</v>
      </c>
      <c r="I69"/>
      <c r="S69" s="6">
        <v>44800</v>
      </c>
      <c r="T69" s="7">
        <v>4</v>
      </c>
      <c r="U69" s="7">
        <v>0.89057060464664195</v>
      </c>
      <c r="V69" s="6">
        <v>45004</v>
      </c>
      <c r="W69" s="7">
        <v>0.24766978894018499</v>
      </c>
    </row>
    <row r="70" spans="1:23" x14ac:dyDescent="0.3">
      <c r="A70" s="2" t="s">
        <v>112</v>
      </c>
      <c r="B70" s="4">
        <f>My_trades[[#This Row],[Date sold]]-My_trades[[#This Row],[Date added]]</f>
        <v>88</v>
      </c>
      <c r="C70" s="5">
        <f>(My_trades[[#This Row],[Sell Price]]-My_trades[[#This Row],[Buy Price]])*My_trades[[#This Row],[Quantity]]</f>
        <v>0.4358493707488762</v>
      </c>
      <c r="I70"/>
      <c r="S70" s="6">
        <v>44889</v>
      </c>
      <c r="T70" s="7">
        <v>4</v>
      </c>
      <c r="U70" s="7">
        <v>0.64606533640427699</v>
      </c>
      <c r="V70" s="6">
        <v>44977</v>
      </c>
      <c r="W70" s="7">
        <v>0.75502767909149604</v>
      </c>
    </row>
    <row r="71" spans="1:23" x14ac:dyDescent="0.3">
      <c r="A71" s="2" t="s">
        <v>113</v>
      </c>
      <c r="B71" s="4">
        <f>My_trades[[#This Row],[Date sold]]-My_trades[[#This Row],[Date added]]</f>
        <v>467</v>
      </c>
      <c r="C71" s="5">
        <f>(My_trades[[#This Row],[Sell Price]]-My_trades[[#This Row],[Buy Price]])*My_trades[[#This Row],[Quantity]]</f>
        <v>0.470060188958903</v>
      </c>
      <c r="I71"/>
      <c r="S71" s="6">
        <v>44574</v>
      </c>
      <c r="T71" s="7">
        <v>5</v>
      </c>
      <c r="U71" s="7">
        <v>2.4408043245797401E-2</v>
      </c>
      <c r="V71" s="6">
        <v>45041</v>
      </c>
      <c r="W71" s="7">
        <v>0.11842008103757801</v>
      </c>
    </row>
    <row r="72" spans="1:23" x14ac:dyDescent="0.3">
      <c r="A72" s="2" t="s">
        <v>114</v>
      </c>
      <c r="B72" s="4">
        <f>My_trades[[#This Row],[Date sold]]-My_trades[[#This Row],[Date added]]</f>
        <v>222</v>
      </c>
      <c r="C72" s="5">
        <f>(My_trades[[#This Row],[Sell Price]]-My_trades[[#This Row],[Buy Price]])*My_trades[[#This Row],[Quantity]]</f>
        <v>7.8785100953612991E-2</v>
      </c>
      <c r="I72"/>
      <c r="S72" s="6">
        <v>44752</v>
      </c>
      <c r="T72" s="7">
        <v>1</v>
      </c>
      <c r="U72" s="7">
        <v>0.144587962809021</v>
      </c>
      <c r="V72" s="6">
        <v>44974</v>
      </c>
      <c r="W72" s="7">
        <v>0.22337306376263399</v>
      </c>
    </row>
    <row r="73" spans="1:23" x14ac:dyDescent="0.3">
      <c r="A73" s="2" t="s">
        <v>115</v>
      </c>
      <c r="B73" s="4">
        <f>My_trades[[#This Row],[Date sold]]-My_trades[[#This Row],[Date added]]</f>
        <v>244</v>
      </c>
      <c r="C73" s="5">
        <f>(My_trades[[#This Row],[Sell Price]]-My_trades[[#This Row],[Buy Price]])*My_trades[[#This Row],[Quantity]]</f>
        <v>6.7107767243110796</v>
      </c>
      <c r="I73"/>
      <c r="S73" s="6">
        <v>44786</v>
      </c>
      <c r="T73" s="7">
        <v>7</v>
      </c>
      <c r="U73" s="7">
        <v>1.31744392227479E-2</v>
      </c>
      <c r="V73" s="6">
        <v>45030</v>
      </c>
      <c r="W73" s="7">
        <v>0.97185682841004495</v>
      </c>
    </row>
    <row r="74" spans="1:23" x14ac:dyDescent="0.3">
      <c r="A74" s="2" t="s">
        <v>116</v>
      </c>
      <c r="B74" s="4">
        <f>My_trades[[#This Row],[Date sold]]-My_trades[[#This Row],[Date added]]</f>
        <v>310</v>
      </c>
      <c r="C74" s="5">
        <f>(My_trades[[#This Row],[Sell Price]]-My_trades[[#This Row],[Buy Price]])*My_trades[[#This Row],[Quantity]]</f>
        <v>-1.3307948236361038</v>
      </c>
      <c r="I74"/>
      <c r="S74" s="6">
        <v>44644</v>
      </c>
      <c r="T74" s="7">
        <v>4</v>
      </c>
      <c r="U74" s="7">
        <v>0.81530857906975795</v>
      </c>
      <c r="V74" s="6">
        <v>44954</v>
      </c>
      <c r="W74" s="7">
        <v>0.48260987316073201</v>
      </c>
    </row>
    <row r="75" spans="1:23" x14ac:dyDescent="0.3">
      <c r="A75" s="2" t="s">
        <v>117</v>
      </c>
      <c r="B75" s="4">
        <f>My_trades[[#This Row],[Date sold]]-My_trades[[#This Row],[Date added]]</f>
        <v>510</v>
      </c>
      <c r="C75" s="5">
        <f>(My_trades[[#This Row],[Sell Price]]-My_trades[[#This Row],[Buy Price]])*My_trades[[#This Row],[Quantity]]</f>
        <v>3.6786823427516997</v>
      </c>
      <c r="I75"/>
      <c r="S75" s="6">
        <v>44554</v>
      </c>
      <c r="T75" s="7">
        <v>6</v>
      </c>
      <c r="U75" s="7">
        <v>0.15491081045699601</v>
      </c>
      <c r="V75" s="6">
        <v>45064</v>
      </c>
      <c r="W75" s="7">
        <v>0.76802453424894601</v>
      </c>
    </row>
    <row r="76" spans="1:23" x14ac:dyDescent="0.3">
      <c r="A76" s="2" t="s">
        <v>118</v>
      </c>
      <c r="B76" s="4">
        <f>My_trades[[#This Row],[Date sold]]-My_trades[[#This Row],[Date added]]</f>
        <v>294</v>
      </c>
      <c r="C76" s="5">
        <f>(My_trades[[#This Row],[Sell Price]]-My_trades[[#This Row],[Buy Price]])*My_trades[[#This Row],[Quantity]]</f>
        <v>-0.147372694291836</v>
      </c>
      <c r="I76"/>
      <c r="S76" s="6">
        <v>44706</v>
      </c>
      <c r="T76" s="7">
        <v>1</v>
      </c>
      <c r="U76" s="7">
        <v>0.269555056043635</v>
      </c>
      <c r="V76" s="6">
        <v>45000</v>
      </c>
      <c r="W76" s="7">
        <v>0.122182361751799</v>
      </c>
    </row>
    <row r="77" spans="1:23" x14ac:dyDescent="0.3">
      <c r="A77" s="2" t="s">
        <v>119</v>
      </c>
      <c r="B77" s="4">
        <f>My_trades[[#This Row],[Date sold]]-My_trades[[#This Row],[Date added]]</f>
        <v>229</v>
      </c>
      <c r="C77" s="5">
        <f>(My_trades[[#This Row],[Sell Price]]-My_trades[[#This Row],[Buy Price]])*My_trades[[#This Row],[Quantity]]</f>
        <v>-2.1369087276919081</v>
      </c>
      <c r="I77"/>
      <c r="S77" s="6">
        <v>44794</v>
      </c>
      <c r="T77" s="7">
        <v>3</v>
      </c>
      <c r="U77" s="7">
        <v>0.71512622981990404</v>
      </c>
      <c r="V77" s="6">
        <v>45023</v>
      </c>
      <c r="W77" s="7">
        <v>2.82332058926804E-3</v>
      </c>
    </row>
    <row r="78" spans="1:23" x14ac:dyDescent="0.3">
      <c r="A78" s="2" t="s">
        <v>120</v>
      </c>
      <c r="B78" s="4">
        <f>My_trades[[#This Row],[Date sold]]-My_trades[[#This Row],[Date added]]</f>
        <v>568</v>
      </c>
      <c r="C78" s="5">
        <f>(My_trades[[#This Row],[Sell Price]]-My_trades[[#This Row],[Buy Price]])*My_trades[[#This Row],[Quantity]]</f>
        <v>-1.6126856601637303</v>
      </c>
      <c r="I78"/>
      <c r="S78" s="6">
        <v>44423</v>
      </c>
      <c r="T78" s="7">
        <v>5</v>
      </c>
      <c r="U78" s="7">
        <v>0.517478802978105</v>
      </c>
      <c r="V78" s="6">
        <v>44991</v>
      </c>
      <c r="W78" s="7">
        <v>0.194941670945359</v>
      </c>
    </row>
    <row r="79" spans="1:23" x14ac:dyDescent="0.3">
      <c r="A79" s="2" t="s">
        <v>121</v>
      </c>
      <c r="B79" s="4">
        <f>My_trades[[#This Row],[Date sold]]-My_trades[[#This Row],[Date added]]</f>
        <v>682</v>
      </c>
      <c r="C79" s="5">
        <f>(My_trades[[#This Row],[Sell Price]]-My_trades[[#This Row],[Buy Price]])*My_trades[[#This Row],[Quantity]]</f>
        <v>-2.6177536356825777</v>
      </c>
      <c r="I79"/>
      <c r="S79" s="6">
        <v>44270</v>
      </c>
      <c r="T79" s="7">
        <v>3</v>
      </c>
      <c r="U79" s="7">
        <v>0.98933192835650696</v>
      </c>
      <c r="V79" s="6">
        <v>44952</v>
      </c>
      <c r="W79" s="7">
        <v>0.116747383128981</v>
      </c>
    </row>
    <row r="80" spans="1:23" x14ac:dyDescent="0.3">
      <c r="A80" s="2" t="s">
        <v>122</v>
      </c>
      <c r="B80" s="4">
        <f>My_trades[[#This Row],[Date sold]]-My_trades[[#This Row],[Date added]]</f>
        <v>199</v>
      </c>
      <c r="C80" s="5">
        <f>(My_trades[[#This Row],[Sell Price]]-My_trades[[#This Row],[Buy Price]])*My_trades[[#This Row],[Quantity]]</f>
        <v>-0.20085805852064986</v>
      </c>
      <c r="I80"/>
      <c r="S80" s="6">
        <v>44852</v>
      </c>
      <c r="T80" s="7">
        <v>5</v>
      </c>
      <c r="U80" s="7">
        <v>0.32415684712172899</v>
      </c>
      <c r="V80" s="6">
        <v>45051</v>
      </c>
      <c r="W80" s="7">
        <v>0.28398523541759901</v>
      </c>
    </row>
    <row r="81" spans="1:23" x14ac:dyDescent="0.3">
      <c r="A81" s="2" t="s">
        <v>123</v>
      </c>
      <c r="B81" s="4">
        <f>My_trades[[#This Row],[Date sold]]-My_trades[[#This Row],[Date added]]</f>
        <v>714</v>
      </c>
      <c r="C81" s="5">
        <f>(My_trades[[#This Row],[Sell Price]]-My_trades[[#This Row],[Buy Price]])*My_trades[[#This Row],[Quantity]]</f>
        <v>0.62501571139692591</v>
      </c>
      <c r="I81"/>
      <c r="S81" s="6">
        <v>44343</v>
      </c>
      <c r="T81" s="7">
        <v>6</v>
      </c>
      <c r="U81" s="7">
        <v>0.64559425958074801</v>
      </c>
      <c r="V81" s="6">
        <v>45057</v>
      </c>
      <c r="W81" s="7">
        <v>0.74976354481356899</v>
      </c>
    </row>
    <row r="82" spans="1:23" x14ac:dyDescent="0.3">
      <c r="A82" s="2" t="s">
        <v>124</v>
      </c>
      <c r="B82" s="4">
        <f>My_trades[[#This Row],[Date sold]]-My_trades[[#This Row],[Date added]]</f>
        <v>407</v>
      </c>
      <c r="C82" s="5">
        <f>(My_trades[[#This Row],[Sell Price]]-My_trades[[#This Row],[Buy Price]])*My_trades[[#This Row],[Quantity]]</f>
        <v>-0.37735846191132916</v>
      </c>
      <c r="I82"/>
      <c r="S82" s="6">
        <v>44643</v>
      </c>
      <c r="T82" s="7">
        <v>10</v>
      </c>
      <c r="U82" s="7">
        <v>0.13502577444900801</v>
      </c>
      <c r="V82" s="6">
        <v>45050</v>
      </c>
      <c r="W82" s="7">
        <v>9.7289928257875094E-2</v>
      </c>
    </row>
    <row r="83" spans="1:23" x14ac:dyDescent="0.3">
      <c r="A83" s="2" t="s">
        <v>125</v>
      </c>
      <c r="B83" s="4">
        <f>My_trades[[#This Row],[Date sold]]-My_trades[[#This Row],[Date added]]</f>
        <v>722</v>
      </c>
      <c r="C83" s="5">
        <f>(My_trades[[#This Row],[Sell Price]]-My_trades[[#This Row],[Buy Price]])*My_trades[[#This Row],[Quantity]]</f>
        <v>1.3298450652868796</v>
      </c>
      <c r="I83"/>
      <c r="S83" s="6">
        <v>44353</v>
      </c>
      <c r="T83" s="7">
        <v>8</v>
      </c>
      <c r="U83" s="7">
        <v>0.74864767306151003</v>
      </c>
      <c r="V83" s="6">
        <v>45075</v>
      </c>
      <c r="W83" s="7">
        <v>0.91487830622236999</v>
      </c>
    </row>
    <row r="84" spans="1:23" x14ac:dyDescent="0.3">
      <c r="A84" s="2" t="s">
        <v>126</v>
      </c>
      <c r="B84" s="4">
        <f>My_trades[[#This Row],[Date sold]]-My_trades[[#This Row],[Date added]]</f>
        <v>351</v>
      </c>
      <c r="C84" s="5">
        <f>(My_trades[[#This Row],[Sell Price]]-My_trades[[#This Row],[Buy Price]])*My_trades[[#This Row],[Quantity]]</f>
        <v>0.12174590279516</v>
      </c>
      <c r="I84"/>
      <c r="S84" s="6">
        <v>44703</v>
      </c>
      <c r="T84" s="7">
        <v>1</v>
      </c>
      <c r="U84" s="7">
        <v>0.105161391848884</v>
      </c>
      <c r="V84" s="6">
        <v>45054</v>
      </c>
      <c r="W84" s="7">
        <v>0.22690729464404399</v>
      </c>
    </row>
    <row r="85" spans="1:23" x14ac:dyDescent="0.3">
      <c r="A85" s="2" t="s">
        <v>127</v>
      </c>
      <c r="B85" s="4">
        <f>My_trades[[#This Row],[Date sold]]-My_trades[[#This Row],[Date added]]</f>
        <v>212</v>
      </c>
      <c r="C85" s="5">
        <f>(My_trades[[#This Row],[Sell Price]]-My_trades[[#This Row],[Buy Price]])*My_trades[[#This Row],[Quantity]]</f>
        <v>1.3297794837764578</v>
      </c>
      <c r="I85"/>
      <c r="S85" s="6">
        <v>44742</v>
      </c>
      <c r="T85" s="7">
        <v>6</v>
      </c>
      <c r="U85" s="7">
        <v>0.11408685507641</v>
      </c>
      <c r="V85" s="6">
        <v>44954</v>
      </c>
      <c r="W85" s="7">
        <v>0.33571676903915298</v>
      </c>
    </row>
    <row r="86" spans="1:23" x14ac:dyDescent="0.3">
      <c r="A86" s="2" t="s">
        <v>129</v>
      </c>
      <c r="B86" s="4">
        <f>My_trades[[#This Row],[Date sold]]-My_trades[[#This Row],[Date added]]</f>
        <v>397</v>
      </c>
      <c r="C86" s="5">
        <f>(My_trades[[#This Row],[Sell Price]]-My_trades[[#This Row],[Buy Price]])*My_trades[[#This Row],[Quantity]]</f>
        <v>-0.20186197918953602</v>
      </c>
      <c r="I86"/>
      <c r="S86" s="6">
        <v>44600</v>
      </c>
      <c r="T86" s="7">
        <v>1</v>
      </c>
      <c r="U86" s="7">
        <v>0.58372843681935904</v>
      </c>
      <c r="V86" s="6">
        <v>44997</v>
      </c>
      <c r="W86" s="7">
        <v>0.38186645762982302</v>
      </c>
    </row>
    <row r="87" spans="1:23" x14ac:dyDescent="0.3">
      <c r="A87" s="2" t="s">
        <v>130</v>
      </c>
      <c r="B87" s="4">
        <f>My_trades[[#This Row],[Date sold]]-My_trades[[#This Row],[Date added]]</f>
        <v>207</v>
      </c>
      <c r="C87" s="5">
        <f>(My_trades[[#This Row],[Sell Price]]-My_trades[[#This Row],[Buy Price]])*My_trades[[#This Row],[Quantity]]</f>
        <v>5.5166451515307351</v>
      </c>
      <c r="I87"/>
      <c r="S87" s="6">
        <v>44721</v>
      </c>
      <c r="T87" s="7">
        <v>6</v>
      </c>
      <c r="U87" s="7">
        <v>1.6069181318315098E-2</v>
      </c>
      <c r="V87" s="6">
        <v>44928</v>
      </c>
      <c r="W87" s="7">
        <v>0.93551003990677095</v>
      </c>
    </row>
    <row r="88" spans="1:23" x14ac:dyDescent="0.3">
      <c r="A88" s="2" t="s">
        <v>131</v>
      </c>
      <c r="B88" s="4">
        <f>My_trades[[#This Row],[Date sold]]-My_trades[[#This Row],[Date added]]</f>
        <v>433</v>
      </c>
      <c r="C88" s="5">
        <f>(My_trades[[#This Row],[Sell Price]]-My_trades[[#This Row],[Buy Price]])*My_trades[[#This Row],[Quantity]]</f>
        <v>0.4542755046532776</v>
      </c>
      <c r="I88"/>
      <c r="S88" s="6">
        <v>44544</v>
      </c>
      <c r="T88" s="7">
        <v>7</v>
      </c>
      <c r="U88" s="7">
        <v>0.77483286137645402</v>
      </c>
      <c r="V88" s="6">
        <v>44977</v>
      </c>
      <c r="W88" s="7">
        <v>0.83972936204120796</v>
      </c>
    </row>
    <row r="89" spans="1:23" x14ac:dyDescent="0.3">
      <c r="A89" s="2" t="s">
        <v>132</v>
      </c>
      <c r="B89" s="4">
        <f>My_trades[[#This Row],[Date sold]]-My_trades[[#This Row],[Date added]]</f>
        <v>728</v>
      </c>
      <c r="C89" s="5">
        <f>(My_trades[[#This Row],[Sell Price]]-My_trades[[#This Row],[Buy Price]])*My_trades[[#This Row],[Quantity]]</f>
        <v>-0.57964845503028029</v>
      </c>
      <c r="I89"/>
      <c r="S89" s="6">
        <v>44304</v>
      </c>
      <c r="T89" s="7">
        <v>6</v>
      </c>
      <c r="U89" s="7">
        <v>0.83415711448827101</v>
      </c>
      <c r="V89" s="6">
        <v>45032</v>
      </c>
      <c r="W89" s="7">
        <v>0.73754903864989096</v>
      </c>
    </row>
    <row r="90" spans="1:23" x14ac:dyDescent="0.3">
      <c r="A90" s="2" t="s">
        <v>133</v>
      </c>
      <c r="B90" s="4">
        <f>My_trades[[#This Row],[Date sold]]-My_trades[[#This Row],[Date added]]</f>
        <v>771</v>
      </c>
      <c r="C90" s="5">
        <f>(My_trades[[#This Row],[Sell Price]]-My_trades[[#This Row],[Buy Price]])*My_trades[[#This Row],[Quantity]]</f>
        <v>0.8764495480595611</v>
      </c>
      <c r="I90"/>
      <c r="S90" s="6">
        <v>44285</v>
      </c>
      <c r="T90" s="7">
        <v>7</v>
      </c>
      <c r="U90" s="7">
        <v>0.27349998025771599</v>
      </c>
      <c r="V90" s="6">
        <v>45056</v>
      </c>
      <c r="W90" s="7">
        <v>0.398707058551939</v>
      </c>
    </row>
    <row r="91" spans="1:23" x14ac:dyDescent="0.3">
      <c r="A91" s="2" t="s">
        <v>134</v>
      </c>
      <c r="B91" s="4">
        <f>My_trades[[#This Row],[Date sold]]-My_trades[[#This Row],[Date added]]</f>
        <v>747</v>
      </c>
      <c r="C91" s="5">
        <f>(My_trades[[#This Row],[Sell Price]]-My_trades[[#This Row],[Buy Price]])*My_trades[[#This Row],[Quantity]]</f>
        <v>1.0089173340834001</v>
      </c>
      <c r="I91"/>
      <c r="S91" s="6">
        <v>44279</v>
      </c>
      <c r="T91" s="7">
        <v>10</v>
      </c>
      <c r="U91" s="7">
        <v>0.17894362318854701</v>
      </c>
      <c r="V91" s="6">
        <v>45026</v>
      </c>
      <c r="W91" s="7">
        <v>0.27983535659688702</v>
      </c>
    </row>
    <row r="92" spans="1:23" x14ac:dyDescent="0.3">
      <c r="A92" s="2" t="s">
        <v>135</v>
      </c>
      <c r="B92" s="4">
        <f>My_trades[[#This Row],[Date sold]]-My_trades[[#This Row],[Date added]]</f>
        <v>751</v>
      </c>
      <c r="C92" s="5">
        <f>(My_trades[[#This Row],[Sell Price]]-My_trades[[#This Row],[Buy Price]])*My_trades[[#This Row],[Quantity]]</f>
        <v>-0.89242284784400605</v>
      </c>
      <c r="I92"/>
      <c r="S92" s="6">
        <v>44206</v>
      </c>
      <c r="T92" s="7">
        <v>2</v>
      </c>
      <c r="U92" s="7">
        <v>0.90504227111458202</v>
      </c>
      <c r="V92" s="6">
        <v>44957</v>
      </c>
      <c r="W92" s="7">
        <v>0.45883084719257899</v>
      </c>
    </row>
    <row r="93" spans="1:23" x14ac:dyDescent="0.3">
      <c r="A93" s="2" t="s">
        <v>136</v>
      </c>
      <c r="B93" s="4">
        <f>My_trades[[#This Row],[Date sold]]-My_trades[[#This Row],[Date added]]</f>
        <v>436</v>
      </c>
      <c r="C93" s="5">
        <f>(My_trades[[#This Row],[Sell Price]]-My_trades[[#This Row],[Buy Price]])*My_trades[[#This Row],[Quantity]]</f>
        <v>1.7071996658142359</v>
      </c>
      <c r="I93"/>
      <c r="S93" s="6">
        <v>44557</v>
      </c>
      <c r="T93" s="7">
        <v>4</v>
      </c>
      <c r="U93" s="7">
        <v>3.6105377236760302E-3</v>
      </c>
      <c r="V93" s="6">
        <v>44993</v>
      </c>
      <c r="W93" s="7">
        <v>0.430410454177235</v>
      </c>
    </row>
    <row r="94" spans="1:23" x14ac:dyDescent="0.3">
      <c r="A94" s="2" t="s">
        <v>137</v>
      </c>
      <c r="B94" s="4">
        <f>My_trades[[#This Row],[Date sold]]-My_trades[[#This Row],[Date added]]</f>
        <v>609</v>
      </c>
      <c r="C94" s="5">
        <f>(My_trades[[#This Row],[Sell Price]]-My_trades[[#This Row],[Buy Price]])*My_trades[[#This Row],[Quantity]]</f>
        <v>5.9739185775797843E-4</v>
      </c>
      <c r="I94"/>
      <c r="S94" s="6">
        <v>44366</v>
      </c>
      <c r="T94" s="7">
        <v>2</v>
      </c>
      <c r="U94" s="7">
        <v>0.256532208615462</v>
      </c>
      <c r="V94" s="6">
        <v>44975</v>
      </c>
      <c r="W94" s="7">
        <v>0.25683090454434099</v>
      </c>
    </row>
    <row r="95" spans="1:23" x14ac:dyDescent="0.3">
      <c r="A95" s="2" t="s">
        <v>138</v>
      </c>
      <c r="B95" s="4">
        <f>My_trades[[#This Row],[Date sold]]-My_trades[[#This Row],[Date added]]</f>
        <v>758</v>
      </c>
      <c r="C95" s="5">
        <f>(My_trades[[#This Row],[Sell Price]]-My_trades[[#This Row],[Buy Price]])*My_trades[[#This Row],[Quantity]]</f>
        <v>-0.44170898255380009</v>
      </c>
      <c r="I95"/>
      <c r="S95" s="6">
        <v>44250</v>
      </c>
      <c r="T95" s="7">
        <v>5</v>
      </c>
      <c r="U95" s="7">
        <v>0.70021844930653598</v>
      </c>
      <c r="V95" s="6">
        <v>45008</v>
      </c>
      <c r="W95" s="7">
        <v>0.61187665279577597</v>
      </c>
    </row>
    <row r="96" spans="1:23" x14ac:dyDescent="0.3">
      <c r="A96" s="2" t="s">
        <v>139</v>
      </c>
      <c r="B96" s="4">
        <f>My_trades[[#This Row],[Date sold]]-My_trades[[#This Row],[Date added]]</f>
        <v>780</v>
      </c>
      <c r="C96" s="5">
        <f>(My_trades[[#This Row],[Sell Price]]-My_trades[[#This Row],[Buy Price]])*My_trades[[#This Row],[Quantity]]</f>
        <v>-0.596471375813306</v>
      </c>
      <c r="I96"/>
      <c r="S96" s="6">
        <v>44235</v>
      </c>
      <c r="T96" s="7">
        <v>2</v>
      </c>
      <c r="U96" s="7">
        <v>0.86236623667253698</v>
      </c>
      <c r="V96" s="6">
        <v>45015</v>
      </c>
      <c r="W96" s="7">
        <v>0.56413054876588398</v>
      </c>
    </row>
    <row r="97" spans="1:23" x14ac:dyDescent="0.3">
      <c r="A97" s="2" t="s">
        <v>140</v>
      </c>
      <c r="B97" s="4">
        <f>My_trades[[#This Row],[Date sold]]-My_trades[[#This Row],[Date added]]</f>
        <v>241</v>
      </c>
      <c r="C97" s="5">
        <f>(My_trades[[#This Row],[Sell Price]]-My_trades[[#This Row],[Buy Price]])*My_trades[[#This Row],[Quantity]]</f>
        <v>-1.5146400479562974</v>
      </c>
      <c r="I97"/>
      <c r="S97" s="6">
        <v>44774</v>
      </c>
      <c r="T97" s="7">
        <v>5</v>
      </c>
      <c r="U97" s="7">
        <v>0.309379274915278</v>
      </c>
      <c r="V97" s="6">
        <v>45015</v>
      </c>
      <c r="W97" s="7">
        <v>6.4512653240185102E-3</v>
      </c>
    </row>
    <row r="98" spans="1:23" x14ac:dyDescent="0.3">
      <c r="A98" s="2" t="s">
        <v>141</v>
      </c>
      <c r="B98" s="4">
        <f>My_trades[[#This Row],[Date sold]]-My_trades[[#This Row],[Date added]]</f>
        <v>615</v>
      </c>
      <c r="C98" s="5">
        <f>(My_trades[[#This Row],[Sell Price]]-My_trades[[#This Row],[Buy Price]])*My_trades[[#This Row],[Quantity]]</f>
        <v>-1.493851455533969</v>
      </c>
      <c r="I98"/>
      <c r="S98" s="6">
        <v>44396</v>
      </c>
      <c r="T98" s="7">
        <v>7</v>
      </c>
      <c r="U98" s="7">
        <v>0.55211790295911001</v>
      </c>
      <c r="V98" s="6">
        <v>45011</v>
      </c>
      <c r="W98" s="7">
        <v>0.33871055216854301</v>
      </c>
    </row>
    <row r="99" spans="1:23" x14ac:dyDescent="0.3">
      <c r="A99" s="2" t="s">
        <v>142</v>
      </c>
      <c r="B99" s="4">
        <f>My_trades[[#This Row],[Date sold]]-My_trades[[#This Row],[Date added]]</f>
        <v>576</v>
      </c>
      <c r="C99" s="5">
        <f>(My_trades[[#This Row],[Sell Price]]-My_trades[[#This Row],[Buy Price]])*My_trades[[#This Row],[Quantity]]</f>
        <v>0.151434489277396</v>
      </c>
      <c r="I99"/>
      <c r="S99" s="6">
        <v>44491</v>
      </c>
      <c r="T99" s="7">
        <v>4</v>
      </c>
      <c r="U99" s="7">
        <v>0.20150989296011099</v>
      </c>
      <c r="V99" s="6">
        <v>45067</v>
      </c>
      <c r="W99" s="7">
        <v>0.23936851527945999</v>
      </c>
    </row>
    <row r="100" spans="1:23" x14ac:dyDescent="0.3">
      <c r="A100" s="2" t="s">
        <v>143</v>
      </c>
      <c r="B100" s="4">
        <f>My_trades[[#This Row],[Date sold]]-My_trades[[#This Row],[Date added]]</f>
        <v>418</v>
      </c>
      <c r="C100" s="5">
        <f>(My_trades[[#This Row],[Sell Price]]-My_trades[[#This Row],[Buy Price]])*My_trades[[#This Row],[Quantity]]</f>
        <v>-4.8620707049910061E-2</v>
      </c>
      <c r="I100"/>
      <c r="S100" s="6">
        <v>44534</v>
      </c>
      <c r="T100" s="7">
        <v>5</v>
      </c>
      <c r="U100" s="7">
        <v>0.18484009932934201</v>
      </c>
      <c r="V100" s="6">
        <v>44952</v>
      </c>
      <c r="W100" s="7">
        <v>0.17511595791935999</v>
      </c>
    </row>
    <row r="101" spans="1:23" x14ac:dyDescent="0.3">
      <c r="A101" s="2" t="s">
        <v>144</v>
      </c>
      <c r="B101" s="4">
        <f>My_trades[[#This Row],[Date sold]]-My_trades[[#This Row],[Date added]]</f>
        <v>57</v>
      </c>
      <c r="C101" s="5">
        <f>(My_trades[[#This Row],[Sell Price]]-My_trades[[#This Row],[Buy Price]])*My_trades[[#This Row],[Quantity]]</f>
        <v>1.1022958217852696</v>
      </c>
      <c r="I101"/>
      <c r="S101" s="6">
        <v>44872</v>
      </c>
      <c r="T101" s="7">
        <v>6</v>
      </c>
      <c r="U101" s="7">
        <v>0.34955930087119302</v>
      </c>
      <c r="V101" s="6">
        <v>44929</v>
      </c>
      <c r="W101" s="7">
        <v>0.53327527116873796</v>
      </c>
    </row>
    <row r="102" spans="1:23" x14ac:dyDescent="0.3">
      <c r="A102" s="2" t="s">
        <v>145</v>
      </c>
      <c r="B102" s="4">
        <f>My_trades[[#This Row],[Date sold]]-My_trades[[#This Row],[Date added]]</f>
        <v>494</v>
      </c>
      <c r="C102" s="5">
        <f>(My_trades[[#This Row],[Sell Price]]-My_trades[[#This Row],[Buy Price]])*My_trades[[#This Row],[Quantity]]</f>
        <v>-2.7225392516182776</v>
      </c>
      <c r="I102"/>
      <c r="S102" s="6">
        <v>44468</v>
      </c>
      <c r="T102" s="7">
        <v>3</v>
      </c>
      <c r="U102" s="7">
        <v>0.93189165277683395</v>
      </c>
      <c r="V102" s="6">
        <v>44962</v>
      </c>
      <c r="W102" s="7">
        <v>2.43785689040747E-2</v>
      </c>
    </row>
    <row r="103" spans="1:23" x14ac:dyDescent="0.3">
      <c r="A103" s="2" t="s">
        <v>146</v>
      </c>
      <c r="B103" s="4">
        <f>My_trades[[#This Row],[Date sold]]-My_trades[[#This Row],[Date added]]</f>
        <v>69</v>
      </c>
      <c r="C103" s="5">
        <f>(My_trades[[#This Row],[Sell Price]]-My_trades[[#This Row],[Buy Price]])*My_trades[[#This Row],[Quantity]]</f>
        <v>-2.6947242268262701</v>
      </c>
      <c r="I103"/>
      <c r="S103" s="6">
        <v>44921</v>
      </c>
      <c r="T103" s="7">
        <v>10</v>
      </c>
      <c r="U103" s="7">
        <v>0.68735083469695002</v>
      </c>
      <c r="V103" s="6">
        <v>44990</v>
      </c>
      <c r="W103" s="7">
        <v>0.41787841201432302</v>
      </c>
    </row>
    <row r="104" spans="1:23" x14ac:dyDescent="0.3">
      <c r="A104" s="2" t="s">
        <v>147</v>
      </c>
      <c r="B104" s="4">
        <f>My_trades[[#This Row],[Date sold]]-My_trades[[#This Row],[Date added]]</f>
        <v>396</v>
      </c>
      <c r="C104" s="5">
        <f>(My_trades[[#This Row],[Sell Price]]-My_trades[[#This Row],[Buy Price]])*My_trades[[#This Row],[Quantity]]</f>
        <v>3.3086654370845152</v>
      </c>
      <c r="I104"/>
      <c r="S104" s="6">
        <v>44605</v>
      </c>
      <c r="T104" s="7">
        <v>5</v>
      </c>
      <c r="U104" s="7">
        <v>0.17493546348643599</v>
      </c>
      <c r="V104" s="6">
        <v>45001</v>
      </c>
      <c r="W104" s="7">
        <v>0.83666855090333903</v>
      </c>
    </row>
    <row r="105" spans="1:23" x14ac:dyDescent="0.3">
      <c r="A105" s="2" t="s">
        <v>148</v>
      </c>
      <c r="B105" s="4">
        <f>My_trades[[#This Row],[Date sold]]-My_trades[[#This Row],[Date added]]</f>
        <v>392</v>
      </c>
      <c r="C105" s="5">
        <f>(My_trades[[#This Row],[Sell Price]]-My_trades[[#This Row],[Buy Price]])*My_trades[[#This Row],[Quantity]]</f>
        <v>-5.0818807518380593</v>
      </c>
      <c r="I105"/>
      <c r="S105" s="6">
        <v>44659</v>
      </c>
      <c r="T105" s="7">
        <v>7</v>
      </c>
      <c r="U105" s="7">
        <v>0.75215132834364595</v>
      </c>
      <c r="V105" s="6">
        <v>45051</v>
      </c>
      <c r="W105" s="7">
        <v>2.6168363795351798E-2</v>
      </c>
    </row>
    <row r="106" spans="1:23" x14ac:dyDescent="0.3">
      <c r="A106" s="2" t="s">
        <v>149</v>
      </c>
      <c r="B106" s="4">
        <f>My_trades[[#This Row],[Date sold]]-My_trades[[#This Row],[Date added]]</f>
        <v>795</v>
      </c>
      <c r="C106" s="5">
        <f>(My_trades[[#This Row],[Sell Price]]-My_trades[[#This Row],[Buy Price]])*My_trades[[#This Row],[Quantity]]</f>
        <v>0.35090031939170097</v>
      </c>
      <c r="I106"/>
      <c r="S106" s="6">
        <v>44263</v>
      </c>
      <c r="T106" s="7">
        <v>1</v>
      </c>
      <c r="U106" s="7">
        <v>0.30953917056170199</v>
      </c>
      <c r="V106" s="6">
        <v>45058</v>
      </c>
      <c r="W106" s="7">
        <v>0.66043948995340296</v>
      </c>
    </row>
    <row r="107" spans="1:23" x14ac:dyDescent="0.3">
      <c r="A107" s="2" t="s">
        <v>150</v>
      </c>
      <c r="B107" s="4">
        <f>My_trades[[#This Row],[Date sold]]-My_trades[[#This Row],[Date added]]</f>
        <v>623</v>
      </c>
      <c r="C107" s="5">
        <f>(My_trades[[#This Row],[Sell Price]]-My_trades[[#This Row],[Buy Price]])*My_trades[[#This Row],[Quantity]]</f>
        <v>-1.7681553669948498</v>
      </c>
      <c r="I107"/>
      <c r="S107" s="6">
        <v>44422</v>
      </c>
      <c r="T107" s="7">
        <v>10</v>
      </c>
      <c r="U107" s="7">
        <v>0.62147829765565299</v>
      </c>
      <c r="V107" s="6">
        <v>45045</v>
      </c>
      <c r="W107" s="7">
        <v>0.44466276095616802</v>
      </c>
    </row>
    <row r="108" spans="1:23" x14ac:dyDescent="0.3">
      <c r="A108" s="2" t="s">
        <v>151</v>
      </c>
      <c r="B108" s="4">
        <f>My_trades[[#This Row],[Date sold]]-My_trades[[#This Row],[Date added]]</f>
        <v>126</v>
      </c>
      <c r="C108" s="5">
        <f>(My_trades[[#This Row],[Sell Price]]-My_trades[[#This Row],[Buy Price]])*My_trades[[#This Row],[Quantity]]</f>
        <v>2.067388635922967</v>
      </c>
      <c r="I108"/>
      <c r="S108" s="6">
        <v>44903</v>
      </c>
      <c r="T108" s="7">
        <v>7</v>
      </c>
      <c r="U108" s="7">
        <v>0.60752716500644899</v>
      </c>
      <c r="V108" s="6">
        <v>45029</v>
      </c>
      <c r="W108" s="7">
        <v>0.90286839870973001</v>
      </c>
    </row>
    <row r="109" spans="1:23" x14ac:dyDescent="0.3">
      <c r="A109" s="2" t="s">
        <v>152</v>
      </c>
      <c r="B109" s="4">
        <f>My_trades[[#This Row],[Date sold]]-My_trades[[#This Row],[Date added]]</f>
        <v>163</v>
      </c>
      <c r="C109" s="5">
        <f>(My_trades[[#This Row],[Sell Price]]-My_trades[[#This Row],[Buy Price]])*My_trades[[#This Row],[Quantity]]</f>
        <v>4.3623326726628289</v>
      </c>
      <c r="I109"/>
      <c r="S109" s="6">
        <v>44810</v>
      </c>
      <c r="T109" s="7">
        <v>10</v>
      </c>
      <c r="U109" s="7">
        <v>8.0126723415399101E-2</v>
      </c>
      <c r="V109" s="6">
        <v>44973</v>
      </c>
      <c r="W109" s="7">
        <v>0.51635999068168204</v>
      </c>
    </row>
    <row r="110" spans="1:23" x14ac:dyDescent="0.3">
      <c r="A110" s="2" t="s">
        <v>153</v>
      </c>
      <c r="B110" s="4">
        <f>My_trades[[#This Row],[Date sold]]-My_trades[[#This Row],[Date added]]</f>
        <v>242</v>
      </c>
      <c r="C110" s="5">
        <f>(My_trades[[#This Row],[Sell Price]]-My_trades[[#This Row],[Buy Price]])*My_trades[[#This Row],[Quantity]]</f>
        <v>0.18643050150905299</v>
      </c>
      <c r="I110"/>
      <c r="S110" s="6">
        <v>44716</v>
      </c>
      <c r="T110" s="7">
        <v>1</v>
      </c>
      <c r="U110" s="7">
        <v>0.165768699711766</v>
      </c>
      <c r="V110" s="6">
        <v>44958</v>
      </c>
      <c r="W110" s="7">
        <v>0.35219920122081899</v>
      </c>
    </row>
    <row r="111" spans="1:23" x14ac:dyDescent="0.3">
      <c r="A111" s="2" t="s">
        <v>154</v>
      </c>
      <c r="B111" s="4">
        <f>My_trades[[#This Row],[Date sold]]-My_trades[[#This Row],[Date added]]</f>
        <v>791</v>
      </c>
      <c r="C111" s="5">
        <f>(My_trades[[#This Row],[Sell Price]]-My_trades[[#This Row],[Buy Price]])*My_trades[[#This Row],[Quantity]]</f>
        <v>-3.196256783170444</v>
      </c>
      <c r="I111"/>
      <c r="S111" s="6">
        <v>44276</v>
      </c>
      <c r="T111" s="7">
        <v>7</v>
      </c>
      <c r="U111" s="7">
        <v>0.95038285910889397</v>
      </c>
      <c r="V111" s="6">
        <v>45067</v>
      </c>
      <c r="W111" s="7">
        <v>0.493774747227402</v>
      </c>
    </row>
    <row r="112" spans="1:23" x14ac:dyDescent="0.3">
      <c r="A112" s="2" t="s">
        <v>155</v>
      </c>
      <c r="B112" s="4">
        <f>My_trades[[#This Row],[Date sold]]-My_trades[[#This Row],[Date added]]</f>
        <v>271</v>
      </c>
      <c r="C112" s="5">
        <f>(My_trades[[#This Row],[Sell Price]]-My_trades[[#This Row],[Buy Price]])*My_trades[[#This Row],[Quantity]]</f>
        <v>-2.2984402212260577</v>
      </c>
      <c r="I112"/>
      <c r="S112" s="6">
        <v>44709</v>
      </c>
      <c r="T112" s="7">
        <v>8</v>
      </c>
      <c r="U112" s="7">
        <v>0.34324624551472199</v>
      </c>
      <c r="V112" s="6">
        <v>44980</v>
      </c>
      <c r="W112" s="7">
        <v>5.5941217861464797E-2</v>
      </c>
    </row>
    <row r="113" spans="1:23" x14ac:dyDescent="0.3">
      <c r="A113" s="2" t="s">
        <v>156</v>
      </c>
      <c r="B113" s="4">
        <f>My_trades[[#This Row],[Date sold]]-My_trades[[#This Row],[Date added]]</f>
        <v>42</v>
      </c>
      <c r="C113" s="5">
        <f>(My_trades[[#This Row],[Sell Price]]-My_trades[[#This Row],[Buy Price]])*My_trades[[#This Row],[Quantity]]</f>
        <v>-6.4196120465471962</v>
      </c>
      <c r="I113"/>
      <c r="S113" s="6">
        <v>44907</v>
      </c>
      <c r="T113" s="7">
        <v>9</v>
      </c>
      <c r="U113" s="7">
        <v>0.88394112549340798</v>
      </c>
      <c r="V113" s="6">
        <v>44949</v>
      </c>
      <c r="W113" s="7">
        <v>0.170650898099275</v>
      </c>
    </row>
    <row r="114" spans="1:23" x14ac:dyDescent="0.3">
      <c r="A114" s="2" t="s">
        <v>157</v>
      </c>
      <c r="B114" s="4">
        <f>My_trades[[#This Row],[Date sold]]-My_trades[[#This Row],[Date added]]</f>
        <v>375</v>
      </c>
      <c r="C114" s="5">
        <f>(My_trades[[#This Row],[Sell Price]]-My_trades[[#This Row],[Buy Price]])*My_trades[[#This Row],[Quantity]]</f>
        <v>0.51729142881164603</v>
      </c>
      <c r="I114"/>
      <c r="S114" s="6">
        <v>44578</v>
      </c>
      <c r="T114" s="7">
        <v>2</v>
      </c>
      <c r="U114" s="7">
        <v>0.19124266932346201</v>
      </c>
      <c r="V114" s="6">
        <v>44953</v>
      </c>
      <c r="W114" s="7">
        <v>0.44988838372928502</v>
      </c>
    </row>
    <row r="115" spans="1:23" x14ac:dyDescent="0.3">
      <c r="A115" s="2" t="s">
        <v>158</v>
      </c>
      <c r="B115" s="4">
        <f>My_trades[[#This Row],[Date sold]]-My_trades[[#This Row],[Date added]]</f>
        <v>715</v>
      </c>
      <c r="C115" s="5">
        <f>(My_trades[[#This Row],[Sell Price]]-My_trades[[#This Row],[Buy Price]])*My_trades[[#This Row],[Quantity]]</f>
        <v>-4.208624827664635</v>
      </c>
      <c r="I115"/>
      <c r="S115" s="6">
        <v>44324</v>
      </c>
      <c r="T115" s="7">
        <v>9</v>
      </c>
      <c r="U115" s="7">
        <v>0.70237024955138705</v>
      </c>
      <c r="V115" s="6">
        <v>45039</v>
      </c>
      <c r="W115" s="7">
        <v>0.23474526869976101</v>
      </c>
    </row>
    <row r="116" spans="1:23" x14ac:dyDescent="0.3">
      <c r="A116" s="2" t="s">
        <v>159</v>
      </c>
      <c r="B116" s="4">
        <f>My_trades[[#This Row],[Date sold]]-My_trades[[#This Row],[Date added]]</f>
        <v>534</v>
      </c>
      <c r="C116" s="5">
        <f>(My_trades[[#This Row],[Sell Price]]-My_trades[[#This Row],[Buy Price]])*My_trades[[#This Row],[Quantity]]</f>
        <v>-0.24632205548731403</v>
      </c>
      <c r="I116"/>
      <c r="S116" s="6">
        <v>44464</v>
      </c>
      <c r="T116" s="7">
        <v>1</v>
      </c>
      <c r="U116" s="7">
        <v>0.47664293083306503</v>
      </c>
      <c r="V116" s="6">
        <v>44998</v>
      </c>
      <c r="W116" s="7">
        <v>0.23032087534575099</v>
      </c>
    </row>
    <row r="117" spans="1:23" x14ac:dyDescent="0.3">
      <c r="A117" s="2" t="s">
        <v>160</v>
      </c>
      <c r="B117" s="4">
        <f>My_trades[[#This Row],[Date sold]]-My_trades[[#This Row],[Date added]]</f>
        <v>417</v>
      </c>
      <c r="C117" s="5">
        <f>(My_trades[[#This Row],[Sell Price]]-My_trades[[#This Row],[Buy Price]])*My_trades[[#This Row],[Quantity]]</f>
        <v>-3.0400181772773198</v>
      </c>
      <c r="I117"/>
      <c r="S117" s="6">
        <v>44581</v>
      </c>
      <c r="T117" s="7">
        <v>8</v>
      </c>
      <c r="U117" s="7">
        <v>0.52894618812607497</v>
      </c>
      <c r="V117" s="6">
        <v>44998</v>
      </c>
      <c r="W117" s="7">
        <v>0.14894391596640999</v>
      </c>
    </row>
    <row r="118" spans="1:23" x14ac:dyDescent="0.3">
      <c r="A118" s="2" t="s">
        <v>161</v>
      </c>
      <c r="B118" s="4">
        <f>My_trades[[#This Row],[Date sold]]-My_trades[[#This Row],[Date added]]</f>
        <v>361</v>
      </c>
      <c r="C118" s="5">
        <f>(My_trades[[#This Row],[Sell Price]]-My_trades[[#This Row],[Buy Price]])*My_trades[[#This Row],[Quantity]]</f>
        <v>-0.14332616076687998</v>
      </c>
      <c r="I118"/>
      <c r="S118" s="6">
        <v>44595</v>
      </c>
      <c r="T118" s="7">
        <v>1</v>
      </c>
      <c r="U118" s="7">
        <v>0.90771622925444195</v>
      </c>
      <c r="V118" s="6">
        <v>44956</v>
      </c>
      <c r="W118" s="7">
        <v>0.76439006848756197</v>
      </c>
    </row>
    <row r="119" spans="1:23" x14ac:dyDescent="0.3">
      <c r="A119" s="2" t="s">
        <v>162</v>
      </c>
      <c r="B119" s="4">
        <f>My_trades[[#This Row],[Date sold]]-My_trades[[#This Row],[Date added]]</f>
        <v>308</v>
      </c>
      <c r="C119" s="5">
        <f>(My_trades[[#This Row],[Sell Price]]-My_trades[[#This Row],[Buy Price]])*My_trades[[#This Row],[Quantity]]</f>
        <v>-3.6237978366431691</v>
      </c>
      <c r="I119"/>
      <c r="S119" s="6">
        <v>44625</v>
      </c>
      <c r="T119" s="7">
        <v>4</v>
      </c>
      <c r="U119" s="7">
        <v>0.93532778717298004</v>
      </c>
      <c r="V119" s="6">
        <v>44933</v>
      </c>
      <c r="W119" s="7">
        <v>2.9378328012187802E-2</v>
      </c>
    </row>
    <row r="120" spans="1:23" x14ac:dyDescent="0.3">
      <c r="A120" s="2" t="s">
        <v>163</v>
      </c>
      <c r="B120" s="4">
        <f>My_trades[[#This Row],[Date sold]]-My_trades[[#This Row],[Date added]]</f>
        <v>184</v>
      </c>
      <c r="C120" s="5">
        <f>(My_trades[[#This Row],[Sell Price]]-My_trades[[#This Row],[Buy Price]])*My_trades[[#This Row],[Quantity]]</f>
        <v>-0.62322748967309327</v>
      </c>
      <c r="I120"/>
      <c r="S120" s="6">
        <v>44801</v>
      </c>
      <c r="T120" s="7">
        <v>6</v>
      </c>
      <c r="U120" s="7">
        <v>0.103932010083317</v>
      </c>
      <c r="V120" s="6">
        <v>44985</v>
      </c>
      <c r="W120" s="7">
        <v>6.0761804468123501E-5</v>
      </c>
    </row>
    <row r="121" spans="1:23" x14ac:dyDescent="0.3">
      <c r="A121" s="2" t="s">
        <v>164</v>
      </c>
      <c r="B121" s="4">
        <f>My_trades[[#This Row],[Date sold]]-My_trades[[#This Row],[Date added]]</f>
        <v>445</v>
      </c>
      <c r="C121" s="5">
        <f>(My_trades[[#This Row],[Sell Price]]-My_trades[[#This Row],[Buy Price]])*My_trades[[#This Row],[Quantity]]</f>
        <v>1.046745383891124</v>
      </c>
      <c r="I121"/>
      <c r="S121" s="6">
        <v>44589</v>
      </c>
      <c r="T121" s="7">
        <v>3</v>
      </c>
      <c r="U121" s="7">
        <v>0.33696098865178298</v>
      </c>
      <c r="V121" s="6">
        <v>45034</v>
      </c>
      <c r="W121" s="7">
        <v>0.68587611661549097</v>
      </c>
    </row>
    <row r="122" spans="1:23" x14ac:dyDescent="0.3">
      <c r="A122" s="2" t="s">
        <v>165</v>
      </c>
      <c r="B122" s="4">
        <f>My_trades[[#This Row],[Date sold]]-My_trades[[#This Row],[Date added]]</f>
        <v>248</v>
      </c>
      <c r="C122" s="5">
        <f>(My_trades[[#This Row],[Sell Price]]-My_trades[[#This Row],[Buy Price]])*My_trades[[#This Row],[Quantity]]</f>
        <v>1.3697860970959921</v>
      </c>
      <c r="I122"/>
      <c r="S122" s="6">
        <v>44733</v>
      </c>
      <c r="T122" s="7">
        <v>9</v>
      </c>
      <c r="U122" s="7">
        <v>0.32825674154548301</v>
      </c>
      <c r="V122" s="6">
        <v>44981</v>
      </c>
      <c r="W122" s="7">
        <v>0.48045519677837101</v>
      </c>
    </row>
    <row r="123" spans="1:23" x14ac:dyDescent="0.3">
      <c r="A123" s="2" t="s">
        <v>166</v>
      </c>
      <c r="B123" s="4">
        <f>My_trades[[#This Row],[Date sold]]-My_trades[[#This Row],[Date added]]</f>
        <v>58</v>
      </c>
      <c r="C123" s="5">
        <f>(My_trades[[#This Row],[Sell Price]]-My_trades[[#This Row],[Buy Price]])*My_trades[[#This Row],[Quantity]]</f>
        <v>-3.7137817771547201</v>
      </c>
      <c r="I123"/>
      <c r="S123" s="6">
        <v>44879</v>
      </c>
      <c r="T123" s="7">
        <v>10</v>
      </c>
      <c r="U123" s="7">
        <v>0.47307005712237998</v>
      </c>
      <c r="V123" s="6">
        <v>44937</v>
      </c>
      <c r="W123" s="7">
        <v>0.10169187940690801</v>
      </c>
    </row>
    <row r="124" spans="1:23" x14ac:dyDescent="0.3">
      <c r="A124" s="2" t="s">
        <v>167</v>
      </c>
      <c r="B124" s="4">
        <f>My_trades[[#This Row],[Date sold]]-My_trades[[#This Row],[Date added]]</f>
        <v>604</v>
      </c>
      <c r="C124" s="5">
        <f>(My_trades[[#This Row],[Sell Price]]-My_trades[[#This Row],[Buy Price]])*My_trades[[#This Row],[Quantity]]</f>
        <v>-2.5501255421604032</v>
      </c>
      <c r="I124"/>
      <c r="S124" s="6">
        <v>44371</v>
      </c>
      <c r="T124" s="7">
        <v>9</v>
      </c>
      <c r="U124" s="7">
        <v>0.71248835178386805</v>
      </c>
      <c r="V124" s="6">
        <v>44975</v>
      </c>
      <c r="W124" s="7">
        <v>0.42914106932160101</v>
      </c>
    </row>
    <row r="125" spans="1:23" x14ac:dyDescent="0.3">
      <c r="A125" s="2" t="s">
        <v>168</v>
      </c>
      <c r="B125" s="4">
        <f>My_trades[[#This Row],[Date sold]]-My_trades[[#This Row],[Date added]]</f>
        <v>175</v>
      </c>
      <c r="C125" s="5">
        <f>(My_trades[[#This Row],[Sell Price]]-My_trades[[#This Row],[Buy Price]])*My_trades[[#This Row],[Quantity]]</f>
        <v>-0.51703471594803296</v>
      </c>
      <c r="I125"/>
      <c r="S125" s="6">
        <v>44792</v>
      </c>
      <c r="T125" s="7">
        <v>1</v>
      </c>
      <c r="U125" s="7">
        <v>0.87147093954098998</v>
      </c>
      <c r="V125" s="6">
        <v>44967</v>
      </c>
      <c r="W125" s="7">
        <v>0.35443622359295701</v>
      </c>
    </row>
    <row r="126" spans="1:23" x14ac:dyDescent="0.3">
      <c r="A126" s="2" t="s">
        <v>169</v>
      </c>
      <c r="B126" s="4">
        <f>My_trades[[#This Row],[Date sold]]-My_trades[[#This Row],[Date added]]</f>
        <v>741</v>
      </c>
      <c r="C126" s="5">
        <f>(My_trades[[#This Row],[Sell Price]]-My_trades[[#This Row],[Buy Price]])*My_trades[[#This Row],[Quantity]]</f>
        <v>2.6392607993331589</v>
      </c>
      <c r="I126"/>
      <c r="S126" s="6">
        <v>44272</v>
      </c>
      <c r="T126" s="7">
        <v>6</v>
      </c>
      <c r="U126" s="7">
        <v>5.4464754581670202E-2</v>
      </c>
      <c r="V126" s="6">
        <v>45013</v>
      </c>
      <c r="W126" s="7">
        <v>0.49434155447053002</v>
      </c>
    </row>
    <row r="127" spans="1:23" x14ac:dyDescent="0.3">
      <c r="A127" s="2" t="s">
        <v>170</v>
      </c>
      <c r="B127" s="4">
        <f>My_trades[[#This Row],[Date sold]]-My_trades[[#This Row],[Date added]]</f>
        <v>152</v>
      </c>
      <c r="C127" s="5">
        <f>(My_trades[[#This Row],[Sell Price]]-My_trades[[#This Row],[Buy Price]])*My_trades[[#This Row],[Quantity]]</f>
        <v>-0.54187348945221592</v>
      </c>
      <c r="I127"/>
      <c r="S127" s="6">
        <v>44886</v>
      </c>
      <c r="T127" s="7">
        <v>8</v>
      </c>
      <c r="U127" s="7">
        <v>0.46539821567982897</v>
      </c>
      <c r="V127" s="6">
        <v>45038</v>
      </c>
      <c r="W127" s="7">
        <v>0.39766402949830199</v>
      </c>
    </row>
    <row r="128" spans="1:23" x14ac:dyDescent="0.3">
      <c r="A128" s="2" t="s">
        <v>171</v>
      </c>
      <c r="B128" s="4">
        <f>My_trades[[#This Row],[Date sold]]-My_trades[[#This Row],[Date added]]</f>
        <v>610</v>
      </c>
      <c r="C128" s="5">
        <f>(My_trades[[#This Row],[Sell Price]]-My_trades[[#This Row],[Buy Price]])*My_trades[[#This Row],[Quantity]]</f>
        <v>0.50582577866602796</v>
      </c>
      <c r="I128"/>
      <c r="S128" s="6">
        <v>44380</v>
      </c>
      <c r="T128" s="7">
        <v>2</v>
      </c>
      <c r="U128" s="7">
        <v>0.41769016811982401</v>
      </c>
      <c r="V128" s="6">
        <v>44990</v>
      </c>
      <c r="W128" s="7">
        <v>0.67060305745283799</v>
      </c>
    </row>
    <row r="129" spans="1:23" x14ac:dyDescent="0.3">
      <c r="A129" s="2" t="s">
        <v>172</v>
      </c>
      <c r="B129" s="4">
        <f>My_trades[[#This Row],[Date sold]]-My_trades[[#This Row],[Date added]]</f>
        <v>406</v>
      </c>
      <c r="C129" s="5">
        <f>(My_trades[[#This Row],[Sell Price]]-My_trades[[#This Row],[Buy Price]])*My_trades[[#This Row],[Quantity]]</f>
        <v>-0.99109056785185001</v>
      </c>
      <c r="I129"/>
      <c r="S129" s="6">
        <v>44661</v>
      </c>
      <c r="T129" s="7">
        <v>5</v>
      </c>
      <c r="U129" s="7">
        <v>0.90898321519765801</v>
      </c>
      <c r="V129" s="6">
        <v>45067</v>
      </c>
      <c r="W129" s="7">
        <v>0.71076510162728801</v>
      </c>
    </row>
    <row r="130" spans="1:23" x14ac:dyDescent="0.3">
      <c r="A130" s="2" t="s">
        <v>173</v>
      </c>
      <c r="B130" s="4">
        <f>My_trades[[#This Row],[Date sold]]-My_trades[[#This Row],[Date added]]</f>
        <v>756</v>
      </c>
      <c r="C130" s="5">
        <f>(My_trades[[#This Row],[Sell Price]]-My_trades[[#This Row],[Buy Price]])*My_trades[[#This Row],[Quantity]]</f>
        <v>0.58689550890769993</v>
      </c>
      <c r="I130"/>
      <c r="S130" s="6">
        <v>44297</v>
      </c>
      <c r="T130" s="7">
        <v>2</v>
      </c>
      <c r="U130" s="7">
        <v>2.2277472344418001E-2</v>
      </c>
      <c r="V130" s="6">
        <v>45053</v>
      </c>
      <c r="W130" s="7">
        <v>0.31572522679826798</v>
      </c>
    </row>
    <row r="131" spans="1:23" x14ac:dyDescent="0.3">
      <c r="A131" s="2" t="s">
        <v>174</v>
      </c>
      <c r="B131" s="4">
        <f>My_trades[[#This Row],[Date sold]]-My_trades[[#This Row],[Date added]]</f>
        <v>818</v>
      </c>
      <c r="C131" s="5">
        <f>(My_trades[[#This Row],[Sell Price]]-My_trades[[#This Row],[Buy Price]])*My_trades[[#This Row],[Quantity]]</f>
        <v>7.1721763351570438</v>
      </c>
      <c r="I131"/>
      <c r="S131" s="6">
        <v>44223</v>
      </c>
      <c r="T131" s="7">
        <v>10</v>
      </c>
      <c r="U131" s="7">
        <v>4.84656763549157E-2</v>
      </c>
      <c r="V131" s="6">
        <v>45041</v>
      </c>
      <c r="W131" s="7">
        <v>0.76568330987062005</v>
      </c>
    </row>
    <row r="132" spans="1:23" x14ac:dyDescent="0.3">
      <c r="A132" s="2" t="s">
        <v>175</v>
      </c>
      <c r="B132" s="4">
        <f>My_trades[[#This Row],[Date sold]]-My_trades[[#This Row],[Date added]]</f>
        <v>329</v>
      </c>
      <c r="C132" s="5">
        <f>(My_trades[[#This Row],[Sell Price]]-My_trades[[#This Row],[Buy Price]])*My_trades[[#This Row],[Quantity]]</f>
        <v>0.40669450199158963</v>
      </c>
      <c r="I132"/>
      <c r="S132" s="6">
        <v>44616</v>
      </c>
      <c r="T132" s="7">
        <v>10</v>
      </c>
      <c r="U132" s="7">
        <v>0.29076178482231801</v>
      </c>
      <c r="V132" s="6">
        <v>44945</v>
      </c>
      <c r="W132" s="7">
        <v>0.33143123502147698</v>
      </c>
    </row>
    <row r="133" spans="1:23" x14ac:dyDescent="0.3">
      <c r="A133" s="2" t="s">
        <v>176</v>
      </c>
      <c r="B133" s="4">
        <f>My_trades[[#This Row],[Date sold]]-My_trades[[#This Row],[Date added]]</f>
        <v>669</v>
      </c>
      <c r="C133" s="5">
        <f>(My_trades[[#This Row],[Sell Price]]-My_trades[[#This Row],[Buy Price]])*My_trades[[#This Row],[Quantity]]</f>
        <v>-1.731860524005312</v>
      </c>
      <c r="I133"/>
      <c r="S133" s="6">
        <v>44398</v>
      </c>
      <c r="T133" s="7">
        <v>6</v>
      </c>
      <c r="U133" s="7">
        <v>0.74483031602755301</v>
      </c>
      <c r="V133" s="6">
        <v>45067</v>
      </c>
      <c r="W133" s="7">
        <v>0.45618689536000101</v>
      </c>
    </row>
    <row r="134" spans="1:23" x14ac:dyDescent="0.3">
      <c r="A134" s="2" t="s">
        <v>177</v>
      </c>
      <c r="B134" s="4">
        <f>My_trades[[#This Row],[Date sold]]-My_trades[[#This Row],[Date added]]</f>
        <v>694</v>
      </c>
      <c r="C134" s="5">
        <f>(My_trades[[#This Row],[Sell Price]]-My_trades[[#This Row],[Buy Price]])*My_trades[[#This Row],[Quantity]]</f>
        <v>-0.22406139606151998</v>
      </c>
      <c r="I134"/>
      <c r="S134" s="6">
        <v>44244</v>
      </c>
      <c r="T134" s="7">
        <v>2</v>
      </c>
      <c r="U134" s="7">
        <v>0.55145811024395297</v>
      </c>
      <c r="V134" s="6">
        <v>44938</v>
      </c>
      <c r="W134" s="7">
        <v>0.43942741221319298</v>
      </c>
    </row>
    <row r="135" spans="1:23" x14ac:dyDescent="0.3">
      <c r="A135" s="2" t="s">
        <v>178</v>
      </c>
      <c r="B135" s="4">
        <f>My_trades[[#This Row],[Date sold]]-My_trades[[#This Row],[Date added]]</f>
        <v>301</v>
      </c>
      <c r="C135" s="5">
        <f>(My_trades[[#This Row],[Sell Price]]-My_trades[[#This Row],[Buy Price]])*My_trades[[#This Row],[Quantity]]</f>
        <v>-0.57815918275795197</v>
      </c>
      <c r="I135"/>
      <c r="S135" s="6">
        <v>44715</v>
      </c>
      <c r="T135" s="7">
        <v>2</v>
      </c>
      <c r="U135" s="7">
        <v>0.75204781971908696</v>
      </c>
      <c r="V135" s="6">
        <v>45016</v>
      </c>
      <c r="W135" s="7">
        <v>0.46296822834011098</v>
      </c>
    </row>
    <row r="136" spans="1:23" x14ac:dyDescent="0.3">
      <c r="A136" s="2" t="s">
        <v>179</v>
      </c>
      <c r="B136" s="4">
        <f>My_trades[[#This Row],[Date sold]]-My_trades[[#This Row],[Date added]]</f>
        <v>756</v>
      </c>
      <c r="C136" s="5">
        <f>(My_trades[[#This Row],[Sell Price]]-My_trades[[#This Row],[Buy Price]])*My_trades[[#This Row],[Quantity]]</f>
        <v>-0.10408160445723602</v>
      </c>
      <c r="I136"/>
      <c r="S136" s="6">
        <v>44225</v>
      </c>
      <c r="T136" s="7">
        <v>7</v>
      </c>
      <c r="U136" s="7">
        <v>0.47691846634392299</v>
      </c>
      <c r="V136" s="6">
        <v>44981</v>
      </c>
      <c r="W136" s="7">
        <v>0.46204966570717498</v>
      </c>
    </row>
    <row r="137" spans="1:23" x14ac:dyDescent="0.3">
      <c r="A137" s="2" t="s">
        <v>180</v>
      </c>
      <c r="B137" s="4">
        <f>My_trades[[#This Row],[Date sold]]-My_trades[[#This Row],[Date added]]</f>
        <v>581</v>
      </c>
      <c r="C137" s="5">
        <f>(My_trades[[#This Row],[Sell Price]]-My_trades[[#This Row],[Buy Price]])*My_trades[[#This Row],[Quantity]]</f>
        <v>5.4257262128768344</v>
      </c>
      <c r="I137"/>
      <c r="S137" s="6">
        <v>44442</v>
      </c>
      <c r="T137" s="7">
        <v>9</v>
      </c>
      <c r="U137" s="7">
        <v>0.351563700735118</v>
      </c>
      <c r="V137" s="6">
        <v>45023</v>
      </c>
      <c r="W137" s="7">
        <v>0.95442216883254405</v>
      </c>
    </row>
    <row r="138" spans="1:23" x14ac:dyDescent="0.3">
      <c r="A138" s="2" t="s">
        <v>181</v>
      </c>
      <c r="B138" s="4">
        <f>My_trades[[#This Row],[Date sold]]-My_trades[[#This Row],[Date added]]</f>
        <v>169</v>
      </c>
      <c r="C138" s="5">
        <f>(My_trades[[#This Row],[Sell Price]]-My_trades[[#This Row],[Buy Price]])*My_trades[[#This Row],[Quantity]]</f>
        <v>-1.3524579839278259</v>
      </c>
      <c r="I138"/>
      <c r="S138" s="6">
        <v>44878</v>
      </c>
      <c r="T138" s="7">
        <v>3</v>
      </c>
      <c r="U138" s="7">
        <v>0.708252824575899</v>
      </c>
      <c r="V138" s="6">
        <v>45047</v>
      </c>
      <c r="W138" s="7">
        <v>0.25743349659995701</v>
      </c>
    </row>
    <row r="139" spans="1:23" x14ac:dyDescent="0.3">
      <c r="A139" s="2" t="s">
        <v>182</v>
      </c>
      <c r="B139" s="4">
        <f>My_trades[[#This Row],[Date sold]]-My_trades[[#This Row],[Date added]]</f>
        <v>469</v>
      </c>
      <c r="C139" s="5">
        <f>(My_trades[[#This Row],[Sell Price]]-My_trades[[#This Row],[Buy Price]])*My_trades[[#This Row],[Quantity]]</f>
        <v>2.6056907203952058</v>
      </c>
      <c r="I139"/>
      <c r="S139" s="6">
        <v>44535</v>
      </c>
      <c r="T139" s="7">
        <v>6</v>
      </c>
      <c r="U139" s="7">
        <v>8.1168066351901699E-2</v>
      </c>
      <c r="V139" s="6">
        <v>45004</v>
      </c>
      <c r="W139" s="7">
        <v>0.51544985308443603</v>
      </c>
    </row>
    <row r="140" spans="1:23" x14ac:dyDescent="0.3">
      <c r="A140" s="2" t="s">
        <v>183</v>
      </c>
      <c r="B140" s="4">
        <f>My_trades[[#This Row],[Date sold]]-My_trades[[#This Row],[Date added]]</f>
        <v>146</v>
      </c>
      <c r="C140" s="5">
        <f>(My_trades[[#This Row],[Sell Price]]-My_trades[[#This Row],[Buy Price]])*My_trades[[#This Row],[Quantity]]</f>
        <v>0.82192099893295789</v>
      </c>
      <c r="I140"/>
      <c r="S140" s="6">
        <v>44815</v>
      </c>
      <c r="T140" s="7">
        <v>3</v>
      </c>
      <c r="U140" s="7">
        <v>0.44727279397540398</v>
      </c>
      <c r="V140" s="6">
        <v>44961</v>
      </c>
      <c r="W140" s="7">
        <v>0.72124646028638995</v>
      </c>
    </row>
    <row r="141" spans="1:23" x14ac:dyDescent="0.3">
      <c r="A141" s="2" t="s">
        <v>184</v>
      </c>
      <c r="B141" s="4">
        <f>My_trades[[#This Row],[Date sold]]-My_trades[[#This Row],[Date added]]</f>
        <v>292</v>
      </c>
      <c r="C141" s="5">
        <f>(My_trades[[#This Row],[Sell Price]]-My_trades[[#This Row],[Buy Price]])*My_trades[[#This Row],[Quantity]]</f>
        <v>-2.7793845987997785</v>
      </c>
      <c r="I141"/>
      <c r="S141" s="6">
        <v>44690</v>
      </c>
      <c r="T141" s="7">
        <v>5</v>
      </c>
      <c r="U141" s="7">
        <v>0.55996144918041602</v>
      </c>
      <c r="V141" s="6">
        <v>44982</v>
      </c>
      <c r="W141" s="7">
        <v>4.0845294204603297E-3</v>
      </c>
    </row>
    <row r="142" spans="1:23" x14ac:dyDescent="0.3">
      <c r="A142" s="2" t="s">
        <v>185</v>
      </c>
      <c r="B142" s="4">
        <f>My_trades[[#This Row],[Date sold]]-My_trades[[#This Row],[Date added]]</f>
        <v>539</v>
      </c>
      <c r="C142" s="5">
        <f>(My_trades[[#This Row],[Sell Price]]-My_trades[[#This Row],[Buy Price]])*My_trades[[#This Row],[Quantity]]</f>
        <v>0.50049929284137207</v>
      </c>
      <c r="I142"/>
      <c r="S142" s="6">
        <v>44521</v>
      </c>
      <c r="T142" s="7">
        <v>4</v>
      </c>
      <c r="U142" s="7">
        <v>0.56230632063577901</v>
      </c>
      <c r="V142" s="6">
        <v>45060</v>
      </c>
      <c r="W142" s="7">
        <v>0.68743114384612203</v>
      </c>
    </row>
    <row r="143" spans="1:23" x14ac:dyDescent="0.3">
      <c r="A143" s="2" t="s">
        <v>186</v>
      </c>
      <c r="B143" s="4">
        <f>My_trades[[#This Row],[Date sold]]-My_trades[[#This Row],[Date added]]</f>
        <v>244</v>
      </c>
      <c r="C143" s="5">
        <f>(My_trades[[#This Row],[Sell Price]]-My_trades[[#This Row],[Buy Price]])*My_trades[[#This Row],[Quantity]]</f>
        <v>-2.0739923578695802</v>
      </c>
      <c r="I143"/>
      <c r="S143" s="6">
        <v>44769</v>
      </c>
      <c r="T143" s="7">
        <v>5</v>
      </c>
      <c r="U143" s="7">
        <v>0.72618042932337601</v>
      </c>
      <c r="V143" s="6">
        <v>45013</v>
      </c>
      <c r="W143" s="7">
        <v>0.31138195774945998</v>
      </c>
    </row>
    <row r="144" spans="1:23" x14ac:dyDescent="0.3">
      <c r="A144" s="2" t="s">
        <v>187</v>
      </c>
      <c r="B144" s="4">
        <f>My_trades[[#This Row],[Date sold]]-My_trades[[#This Row],[Date added]]</f>
        <v>806</v>
      </c>
      <c r="C144" s="5">
        <f>(My_trades[[#This Row],[Sell Price]]-My_trades[[#This Row],[Buy Price]])*My_trades[[#This Row],[Quantity]]</f>
        <v>-0.2484879527768751</v>
      </c>
      <c r="I144"/>
      <c r="S144" s="6">
        <v>44206</v>
      </c>
      <c r="T144" s="7">
        <v>3</v>
      </c>
      <c r="U144" s="7">
        <v>0.113699112632604</v>
      </c>
      <c r="V144" s="6">
        <v>45012</v>
      </c>
      <c r="W144" s="7">
        <v>3.0869795040312301E-2</v>
      </c>
    </row>
    <row r="145" spans="1:23" x14ac:dyDescent="0.3">
      <c r="A145" s="2" t="s">
        <v>188</v>
      </c>
      <c r="B145" s="4">
        <f>My_trades[[#This Row],[Date sold]]-My_trades[[#This Row],[Date added]]</f>
        <v>123</v>
      </c>
      <c r="C145" s="5">
        <f>(My_trades[[#This Row],[Sell Price]]-My_trades[[#This Row],[Buy Price]])*My_trades[[#This Row],[Quantity]]</f>
        <v>0.63398606507953736</v>
      </c>
      <c r="I145"/>
      <c r="S145" s="6">
        <v>44822</v>
      </c>
      <c r="T145" s="7">
        <v>1</v>
      </c>
      <c r="U145" s="7">
        <v>8.6409222229514596E-2</v>
      </c>
      <c r="V145" s="6">
        <v>44945</v>
      </c>
      <c r="W145" s="7">
        <v>0.720395287309052</v>
      </c>
    </row>
    <row r="146" spans="1:23" x14ac:dyDescent="0.3">
      <c r="A146" s="2" t="s">
        <v>189</v>
      </c>
      <c r="B146" s="4">
        <f>My_trades[[#This Row],[Date sold]]-My_trades[[#This Row],[Date added]]</f>
        <v>566</v>
      </c>
      <c r="C146" s="5">
        <f>(My_trades[[#This Row],[Sell Price]]-My_trades[[#This Row],[Buy Price]])*My_trades[[#This Row],[Quantity]]</f>
        <v>0.67037100617501189</v>
      </c>
      <c r="I146"/>
      <c r="S146" s="6">
        <v>44484</v>
      </c>
      <c r="T146" s="7">
        <v>4</v>
      </c>
      <c r="U146" s="7">
        <v>0.573839853564304</v>
      </c>
      <c r="V146" s="6">
        <v>45050</v>
      </c>
      <c r="W146" s="7">
        <v>0.74143260510805697</v>
      </c>
    </row>
    <row r="147" spans="1:23" x14ac:dyDescent="0.3">
      <c r="A147" s="2" t="s">
        <v>190</v>
      </c>
      <c r="B147" s="4">
        <f>My_trades[[#This Row],[Date sold]]-My_trades[[#This Row],[Date added]]</f>
        <v>307</v>
      </c>
      <c r="C147" s="5">
        <f>(My_trades[[#This Row],[Sell Price]]-My_trades[[#This Row],[Buy Price]])*My_trades[[#This Row],[Quantity]]</f>
        <v>4.4587290504929902</v>
      </c>
      <c r="I147"/>
      <c r="S147" s="6">
        <v>44734</v>
      </c>
      <c r="T147" s="7">
        <v>10</v>
      </c>
      <c r="U147" s="7">
        <v>5.8312359538940997E-2</v>
      </c>
      <c r="V147" s="6">
        <v>45041</v>
      </c>
      <c r="W147" s="7">
        <v>0.50418526458823998</v>
      </c>
    </row>
    <row r="148" spans="1:23" x14ac:dyDescent="0.3">
      <c r="A148" s="2" t="s">
        <v>191</v>
      </c>
      <c r="B148" s="4">
        <f>My_trades[[#This Row],[Date sold]]-My_trades[[#This Row],[Date added]]</f>
        <v>456</v>
      </c>
      <c r="C148" s="5">
        <f>(My_trades[[#This Row],[Sell Price]]-My_trades[[#This Row],[Buy Price]])*My_trades[[#This Row],[Quantity]]</f>
        <v>-4.196142457933874</v>
      </c>
      <c r="I148"/>
      <c r="S148" s="6">
        <v>44480</v>
      </c>
      <c r="T148" s="7">
        <v>7</v>
      </c>
      <c r="U148" s="7">
        <v>0.717702757066082</v>
      </c>
      <c r="V148" s="6">
        <v>44936</v>
      </c>
      <c r="W148" s="7">
        <v>0.1182538345041</v>
      </c>
    </row>
    <row r="149" spans="1:23" x14ac:dyDescent="0.3">
      <c r="A149" s="2" t="s">
        <v>192</v>
      </c>
      <c r="B149" s="4">
        <f>My_trades[[#This Row],[Date sold]]-My_trades[[#This Row],[Date added]]</f>
        <v>410</v>
      </c>
      <c r="C149" s="5">
        <f>(My_trades[[#This Row],[Sell Price]]-My_trades[[#This Row],[Buy Price]])*My_trades[[#This Row],[Quantity]]</f>
        <v>0.30343950901873695</v>
      </c>
      <c r="I149"/>
      <c r="S149" s="6">
        <v>44534</v>
      </c>
      <c r="T149" s="7">
        <v>1</v>
      </c>
      <c r="U149" s="7">
        <v>0.29181649358212502</v>
      </c>
      <c r="V149" s="6">
        <v>44944</v>
      </c>
      <c r="W149" s="7">
        <v>0.59525600260086198</v>
      </c>
    </row>
    <row r="150" spans="1:23" x14ac:dyDescent="0.3">
      <c r="A150" s="2" t="s">
        <v>193</v>
      </c>
      <c r="B150" s="4">
        <f>My_trades[[#This Row],[Date sold]]-My_trades[[#This Row],[Date added]]</f>
        <v>376</v>
      </c>
      <c r="C150" s="5">
        <f>(My_trades[[#This Row],[Sell Price]]-My_trades[[#This Row],[Buy Price]])*My_trades[[#This Row],[Quantity]]</f>
        <v>-1.2073753528529019E-2</v>
      </c>
      <c r="I150"/>
      <c r="S150" s="6">
        <v>44616</v>
      </c>
      <c r="T150" s="7">
        <v>7</v>
      </c>
      <c r="U150" s="7">
        <v>0.41475447056245102</v>
      </c>
      <c r="V150" s="6">
        <v>44992</v>
      </c>
      <c r="W150" s="7">
        <v>0.41302964862980401</v>
      </c>
    </row>
    <row r="151" spans="1:23" x14ac:dyDescent="0.3">
      <c r="A151" s="2" t="s">
        <v>194</v>
      </c>
      <c r="B151" s="4">
        <f>My_trades[[#This Row],[Date sold]]-My_trades[[#This Row],[Date added]]</f>
        <v>260</v>
      </c>
      <c r="C151" s="5">
        <f>(My_trades[[#This Row],[Sell Price]]-My_trades[[#This Row],[Buy Price]])*My_trades[[#This Row],[Quantity]]</f>
        <v>1.9280117647976935E-2</v>
      </c>
      <c r="I151"/>
      <c r="S151" s="6">
        <v>44766</v>
      </c>
      <c r="T151" s="7">
        <v>3</v>
      </c>
      <c r="U151" s="7">
        <v>0.273622029983696</v>
      </c>
      <c r="V151" s="6">
        <v>45026</v>
      </c>
      <c r="W151" s="7">
        <v>0.28004873586635498</v>
      </c>
    </row>
    <row r="152" spans="1:23" x14ac:dyDescent="0.3">
      <c r="A152" s="2" t="s">
        <v>195</v>
      </c>
      <c r="B152" s="4">
        <f>My_trades[[#This Row],[Date sold]]-My_trades[[#This Row],[Date added]]</f>
        <v>87</v>
      </c>
      <c r="C152" s="5">
        <f>(My_trades[[#This Row],[Sell Price]]-My_trades[[#This Row],[Buy Price]])*My_trades[[#This Row],[Quantity]]</f>
        <v>2.3327160226114847</v>
      </c>
      <c r="I152"/>
      <c r="S152" s="6">
        <v>44857</v>
      </c>
      <c r="T152" s="7">
        <v>5</v>
      </c>
      <c r="U152" s="7">
        <v>0.36944159210677702</v>
      </c>
      <c r="V152" s="6">
        <v>44944</v>
      </c>
      <c r="W152" s="7">
        <v>0.83598479662907399</v>
      </c>
    </row>
    <row r="153" spans="1:23" x14ac:dyDescent="0.3">
      <c r="A153" s="2" t="s">
        <v>196</v>
      </c>
      <c r="B153" s="4">
        <f>My_trades[[#This Row],[Date sold]]-My_trades[[#This Row],[Date added]]</f>
        <v>379</v>
      </c>
      <c r="C153" s="5">
        <f>(My_trades[[#This Row],[Sell Price]]-My_trades[[#This Row],[Buy Price]])*My_trades[[#This Row],[Quantity]]</f>
        <v>-0.45102302077523904</v>
      </c>
      <c r="I153"/>
      <c r="S153" s="6">
        <v>44607</v>
      </c>
      <c r="T153" s="7">
        <v>1</v>
      </c>
      <c r="U153" s="7">
        <v>0.58311714000128001</v>
      </c>
      <c r="V153" s="6">
        <v>44986</v>
      </c>
      <c r="W153" s="7">
        <v>0.132094119226041</v>
      </c>
    </row>
    <row r="154" spans="1:23" x14ac:dyDescent="0.3">
      <c r="A154" s="2" t="s">
        <v>197</v>
      </c>
      <c r="B154" s="4">
        <f>My_trades[[#This Row],[Date sold]]-My_trades[[#This Row],[Date added]]</f>
        <v>701</v>
      </c>
      <c r="C154" s="5">
        <f>(My_trades[[#This Row],[Sell Price]]-My_trades[[#This Row],[Buy Price]])*My_trades[[#This Row],[Quantity]]</f>
        <v>0.13450365868527592</v>
      </c>
      <c r="I154"/>
      <c r="S154" s="6">
        <v>44312</v>
      </c>
      <c r="T154" s="7">
        <v>6</v>
      </c>
      <c r="U154" s="7">
        <v>0.65300297719761102</v>
      </c>
      <c r="V154" s="6">
        <v>45013</v>
      </c>
      <c r="W154" s="7">
        <v>0.67542025364515701</v>
      </c>
    </row>
    <row r="155" spans="1:23" x14ac:dyDescent="0.3">
      <c r="A155" s="2" t="s">
        <v>198</v>
      </c>
      <c r="B155" s="4">
        <f>My_trades[[#This Row],[Date sold]]-My_trades[[#This Row],[Date added]]</f>
        <v>319</v>
      </c>
      <c r="C155" s="5">
        <f>(My_trades[[#This Row],[Sell Price]]-My_trades[[#This Row],[Buy Price]])*My_trades[[#This Row],[Quantity]]</f>
        <v>3.0900493820769115</v>
      </c>
      <c r="I155"/>
      <c r="S155" s="6">
        <v>44684</v>
      </c>
      <c r="T155" s="7">
        <v>8</v>
      </c>
      <c r="U155" s="7">
        <v>0.29111039384551202</v>
      </c>
      <c r="V155" s="6">
        <v>45003</v>
      </c>
      <c r="W155" s="7">
        <v>0.67736656660512595</v>
      </c>
    </row>
    <row r="156" spans="1:23" x14ac:dyDescent="0.3">
      <c r="A156" s="2" t="s">
        <v>199</v>
      </c>
      <c r="B156" s="4">
        <f>My_trades[[#This Row],[Date sold]]-My_trades[[#This Row],[Date added]]</f>
        <v>811</v>
      </c>
      <c r="C156" s="5">
        <f>(My_trades[[#This Row],[Sell Price]]-My_trades[[#This Row],[Buy Price]])*My_trades[[#This Row],[Quantity]]</f>
        <v>2.5055518026755124</v>
      </c>
      <c r="I156"/>
      <c r="S156" s="6">
        <v>44240</v>
      </c>
      <c r="T156" s="7">
        <v>4</v>
      </c>
      <c r="U156" s="7">
        <v>0.112536236136402</v>
      </c>
      <c r="V156" s="6">
        <v>45051</v>
      </c>
      <c r="W156" s="7">
        <v>0.73892418680528005</v>
      </c>
    </row>
    <row r="157" spans="1:23" x14ac:dyDescent="0.3">
      <c r="A157" s="2" t="s">
        <v>200</v>
      </c>
      <c r="B157" s="4">
        <f>My_trades[[#This Row],[Date sold]]-My_trades[[#This Row],[Date added]]</f>
        <v>420</v>
      </c>
      <c r="C157" s="5">
        <f>(My_trades[[#This Row],[Sell Price]]-My_trades[[#This Row],[Buy Price]])*My_trades[[#This Row],[Quantity]]</f>
        <v>0.44627863636776588</v>
      </c>
      <c r="I157"/>
      <c r="S157" s="6">
        <v>44579</v>
      </c>
      <c r="T157" s="7">
        <v>9</v>
      </c>
      <c r="U157" s="7">
        <v>0.15192205963339001</v>
      </c>
      <c r="V157" s="6">
        <v>44999</v>
      </c>
      <c r="W157" s="7">
        <v>0.20150857478536399</v>
      </c>
    </row>
    <row r="158" spans="1:23" x14ac:dyDescent="0.3">
      <c r="A158" s="2" t="s">
        <v>201</v>
      </c>
      <c r="B158" s="4">
        <f>My_trades[[#This Row],[Date sold]]-My_trades[[#This Row],[Date added]]</f>
        <v>141</v>
      </c>
      <c r="C158" s="5">
        <f>(My_trades[[#This Row],[Sell Price]]-My_trades[[#This Row],[Buy Price]])*My_trades[[#This Row],[Quantity]]</f>
        <v>-0.33733947132457798</v>
      </c>
      <c r="I158"/>
      <c r="S158" s="6">
        <v>44830</v>
      </c>
      <c r="T158" s="7">
        <v>2</v>
      </c>
      <c r="U158" s="7">
        <v>0.28151547287029699</v>
      </c>
      <c r="V158" s="6">
        <v>44971</v>
      </c>
      <c r="W158" s="7">
        <v>0.112845737208008</v>
      </c>
    </row>
    <row r="159" spans="1:23" x14ac:dyDescent="0.3">
      <c r="A159" s="2" t="s">
        <v>202</v>
      </c>
      <c r="B159" s="4">
        <f>My_trades[[#This Row],[Date sold]]-My_trades[[#This Row],[Date added]]</f>
        <v>443</v>
      </c>
      <c r="C159" s="5">
        <f>(My_trades[[#This Row],[Sell Price]]-My_trades[[#This Row],[Buy Price]])*My_trades[[#This Row],[Quantity]]</f>
        <v>0.63835945992036414</v>
      </c>
      <c r="I159"/>
      <c r="S159" s="6">
        <v>44580</v>
      </c>
      <c r="T159" s="7">
        <v>2</v>
      </c>
      <c r="U159" s="7">
        <v>0.47294292208057698</v>
      </c>
      <c r="V159" s="6">
        <v>45023</v>
      </c>
      <c r="W159" s="7">
        <v>0.79212265204075905</v>
      </c>
    </row>
    <row r="160" spans="1:23" x14ac:dyDescent="0.3">
      <c r="A160" s="2" t="s">
        <v>203</v>
      </c>
      <c r="B160" s="4">
        <f>My_trades[[#This Row],[Date sold]]-My_trades[[#This Row],[Date added]]</f>
        <v>404</v>
      </c>
      <c r="C160" s="5">
        <f>(My_trades[[#This Row],[Sell Price]]-My_trades[[#This Row],[Buy Price]])*My_trades[[#This Row],[Quantity]]</f>
        <v>-0.12334829544298809</v>
      </c>
      <c r="I160"/>
      <c r="S160" s="6">
        <v>44605</v>
      </c>
      <c r="T160" s="7">
        <v>2</v>
      </c>
      <c r="U160" s="7">
        <v>0.95827680251471803</v>
      </c>
      <c r="V160" s="6">
        <v>45009</v>
      </c>
      <c r="W160" s="7">
        <v>0.89660265479322399</v>
      </c>
    </row>
    <row r="161" spans="1:23" x14ac:dyDescent="0.3">
      <c r="A161" s="2" t="s">
        <v>204</v>
      </c>
      <c r="B161" s="4">
        <f>My_trades[[#This Row],[Date sold]]-My_trades[[#This Row],[Date added]]</f>
        <v>345</v>
      </c>
      <c r="C161" s="5">
        <f>(My_trades[[#This Row],[Sell Price]]-My_trades[[#This Row],[Buy Price]])*My_trades[[#This Row],[Quantity]]</f>
        <v>-6.2183137819950052E-2</v>
      </c>
      <c r="I161"/>
      <c r="S161" s="6">
        <v>44604</v>
      </c>
      <c r="T161" s="7">
        <v>2</v>
      </c>
      <c r="U161" s="7">
        <v>0.27963347908695002</v>
      </c>
      <c r="V161" s="6">
        <v>44949</v>
      </c>
      <c r="W161" s="7">
        <v>0.24854191017697499</v>
      </c>
    </row>
    <row r="162" spans="1:23" x14ac:dyDescent="0.3">
      <c r="A162" s="2" t="s">
        <v>205</v>
      </c>
      <c r="B162" s="4">
        <f>My_trades[[#This Row],[Date sold]]-My_trades[[#This Row],[Date added]]</f>
        <v>698</v>
      </c>
      <c r="C162" s="5">
        <f>(My_trades[[#This Row],[Sell Price]]-My_trades[[#This Row],[Buy Price]])*My_trades[[#This Row],[Quantity]]</f>
        <v>1.525589636865456</v>
      </c>
      <c r="I162"/>
      <c r="S162" s="6">
        <v>44257</v>
      </c>
      <c r="T162" s="7">
        <v>8</v>
      </c>
      <c r="U162" s="7">
        <v>0.434644149591145</v>
      </c>
      <c r="V162" s="6">
        <v>44955</v>
      </c>
      <c r="W162" s="7">
        <v>0.625342854199327</v>
      </c>
    </row>
    <row r="163" spans="1:23" x14ac:dyDescent="0.3">
      <c r="A163" s="2" t="s">
        <v>206</v>
      </c>
      <c r="B163" s="4">
        <f>My_trades[[#This Row],[Date sold]]-My_trades[[#This Row],[Date added]]</f>
        <v>235</v>
      </c>
      <c r="C163" s="5">
        <f>(My_trades[[#This Row],[Sell Price]]-My_trades[[#This Row],[Buy Price]])*My_trades[[#This Row],[Quantity]]</f>
        <v>-0.92995958029629511</v>
      </c>
      <c r="I163"/>
      <c r="S163" s="6">
        <v>44745</v>
      </c>
      <c r="T163" s="7">
        <v>5</v>
      </c>
      <c r="U163" s="7">
        <v>0.74838580953710099</v>
      </c>
      <c r="V163" s="6">
        <v>44980</v>
      </c>
      <c r="W163" s="7">
        <v>0.56239389347784197</v>
      </c>
    </row>
    <row r="164" spans="1:23" x14ac:dyDescent="0.3">
      <c r="A164" s="2" t="s">
        <v>207</v>
      </c>
      <c r="B164" s="4">
        <f>My_trades[[#This Row],[Date sold]]-My_trades[[#This Row],[Date added]]</f>
        <v>148</v>
      </c>
      <c r="C164" s="5">
        <f>(My_trades[[#This Row],[Sell Price]]-My_trades[[#This Row],[Buy Price]])*My_trades[[#This Row],[Quantity]]</f>
        <v>-0.28002138939231014</v>
      </c>
      <c r="I164"/>
      <c r="S164" s="6">
        <v>44916</v>
      </c>
      <c r="T164" s="7">
        <v>6</v>
      </c>
      <c r="U164" s="7">
        <v>0.48045901029779903</v>
      </c>
      <c r="V164" s="6">
        <v>45064</v>
      </c>
      <c r="W164" s="7">
        <v>0.433788778732414</v>
      </c>
    </row>
    <row r="165" spans="1:23" x14ac:dyDescent="0.3">
      <c r="A165" s="2" t="s">
        <v>208</v>
      </c>
      <c r="B165" s="4">
        <f>My_trades[[#This Row],[Date sold]]-My_trades[[#This Row],[Date added]]</f>
        <v>695</v>
      </c>
      <c r="C165" s="5">
        <f>(My_trades[[#This Row],[Sell Price]]-My_trades[[#This Row],[Buy Price]])*My_trades[[#This Row],[Quantity]]</f>
        <v>-5.4307098540242036</v>
      </c>
      <c r="I165"/>
      <c r="S165" s="6">
        <v>44354</v>
      </c>
      <c r="T165" s="7">
        <v>7</v>
      </c>
      <c r="U165" s="7">
        <v>0.98744929724646802</v>
      </c>
      <c r="V165" s="6">
        <v>45049</v>
      </c>
      <c r="W165" s="7">
        <v>0.21163360381443899</v>
      </c>
    </row>
    <row r="166" spans="1:23" x14ac:dyDescent="0.3">
      <c r="A166" s="2" t="s">
        <v>209</v>
      </c>
      <c r="B166" s="4">
        <f>My_trades[[#This Row],[Date sold]]-My_trades[[#This Row],[Date added]]</f>
        <v>358</v>
      </c>
      <c r="C166" s="5">
        <f>(My_trades[[#This Row],[Sell Price]]-My_trades[[#This Row],[Buy Price]])*My_trades[[#This Row],[Quantity]]</f>
        <v>1.7732877280659309E-2</v>
      </c>
      <c r="I166"/>
      <c r="S166" s="6">
        <v>44711</v>
      </c>
      <c r="T166" s="7">
        <v>3</v>
      </c>
      <c r="U166" s="7">
        <v>5.2479096578398297E-2</v>
      </c>
      <c r="V166" s="6">
        <v>45069</v>
      </c>
      <c r="W166" s="7">
        <v>5.8390055671951401E-2</v>
      </c>
    </row>
    <row r="167" spans="1:23" x14ac:dyDescent="0.3">
      <c r="A167" s="2" t="s">
        <v>210</v>
      </c>
      <c r="B167" s="4">
        <f>My_trades[[#This Row],[Date sold]]-My_trades[[#This Row],[Date added]]</f>
        <v>213</v>
      </c>
      <c r="C167" s="5">
        <f>(My_trades[[#This Row],[Sell Price]]-My_trades[[#This Row],[Buy Price]])*My_trades[[#This Row],[Quantity]]</f>
        <v>3.034347410187225</v>
      </c>
      <c r="I167"/>
      <c r="S167" s="6">
        <v>44801</v>
      </c>
      <c r="T167" s="7">
        <v>4</v>
      </c>
      <c r="U167" s="7">
        <v>6.3638338964366797E-2</v>
      </c>
      <c r="V167" s="6">
        <v>45014</v>
      </c>
      <c r="W167" s="7">
        <v>0.82222519151117301</v>
      </c>
    </row>
    <row r="168" spans="1:23" x14ac:dyDescent="0.3">
      <c r="A168" s="2" t="s">
        <v>211</v>
      </c>
      <c r="B168" s="4">
        <f>My_trades[[#This Row],[Date sold]]-My_trades[[#This Row],[Date added]]</f>
        <v>459</v>
      </c>
      <c r="C168" s="5">
        <f>(My_trades[[#This Row],[Sell Price]]-My_trades[[#This Row],[Buy Price]])*My_trades[[#This Row],[Quantity]]</f>
        <v>7.1354277806178631E-2</v>
      </c>
      <c r="I168"/>
      <c r="S168" s="6">
        <v>44515</v>
      </c>
      <c r="T168" s="7">
        <v>3</v>
      </c>
      <c r="U168" s="7">
        <v>7.0327700844507193E-2</v>
      </c>
      <c r="V168" s="6">
        <v>44974</v>
      </c>
      <c r="W168" s="7">
        <v>9.4112460113233404E-2</v>
      </c>
    </row>
    <row r="169" spans="1:23" x14ac:dyDescent="0.3">
      <c r="A169" s="2" t="s">
        <v>212</v>
      </c>
      <c r="B169" s="4">
        <f>My_trades[[#This Row],[Date sold]]-My_trades[[#This Row],[Date added]]</f>
        <v>143</v>
      </c>
      <c r="C169" s="5">
        <f>(My_trades[[#This Row],[Sell Price]]-My_trades[[#This Row],[Buy Price]])*My_trades[[#This Row],[Quantity]]</f>
        <v>3.3174060387963E-2</v>
      </c>
      <c r="I169"/>
      <c r="S169" s="6">
        <v>44897</v>
      </c>
      <c r="T169" s="7">
        <v>3</v>
      </c>
      <c r="U169" s="7">
        <v>0.95057620706778501</v>
      </c>
      <c r="V169" s="6">
        <v>45040</v>
      </c>
      <c r="W169" s="7">
        <v>0.96163422719710601</v>
      </c>
    </row>
    <row r="170" spans="1:23" x14ac:dyDescent="0.3">
      <c r="A170" s="2" t="s">
        <v>213</v>
      </c>
      <c r="B170" s="4">
        <f>My_trades[[#This Row],[Date sold]]-My_trades[[#This Row],[Date added]]</f>
        <v>143</v>
      </c>
      <c r="C170" s="5">
        <f>(My_trades[[#This Row],[Sell Price]]-My_trades[[#This Row],[Buy Price]])*My_trades[[#This Row],[Quantity]]</f>
        <v>0.44657128794339002</v>
      </c>
      <c r="I170"/>
      <c r="S170" s="6">
        <v>44903</v>
      </c>
      <c r="T170" s="7">
        <v>1</v>
      </c>
      <c r="U170" s="7">
        <v>0.48177369539871401</v>
      </c>
      <c r="V170" s="6">
        <v>45046</v>
      </c>
      <c r="W170" s="7">
        <v>0.92834498334210402</v>
      </c>
    </row>
    <row r="171" spans="1:23" x14ac:dyDescent="0.3">
      <c r="A171" s="2" t="s">
        <v>214</v>
      </c>
      <c r="B171" s="4">
        <f>My_trades[[#This Row],[Date sold]]-My_trades[[#This Row],[Date added]]</f>
        <v>744</v>
      </c>
      <c r="C171" s="5">
        <f>(My_trades[[#This Row],[Sell Price]]-My_trades[[#This Row],[Buy Price]])*My_trades[[#This Row],[Quantity]]</f>
        <v>1.2663374943292061E-2</v>
      </c>
      <c r="I171"/>
      <c r="S171" s="6">
        <v>44204</v>
      </c>
      <c r="T171" s="7">
        <v>2</v>
      </c>
      <c r="U171" s="7">
        <v>0.43098053100217298</v>
      </c>
      <c r="V171" s="6">
        <v>44948</v>
      </c>
      <c r="W171" s="7">
        <v>0.43731221847381901</v>
      </c>
    </row>
    <row r="172" spans="1:23" x14ac:dyDescent="0.3">
      <c r="A172" s="2" t="s">
        <v>215</v>
      </c>
      <c r="B172" s="4">
        <f>My_trades[[#This Row],[Date sold]]-My_trades[[#This Row],[Date added]]</f>
        <v>543</v>
      </c>
      <c r="C172" s="5">
        <f>(My_trades[[#This Row],[Sell Price]]-My_trades[[#This Row],[Buy Price]])*My_trades[[#This Row],[Quantity]]</f>
        <v>-3.4330174579970323</v>
      </c>
      <c r="I172"/>
      <c r="S172" s="6">
        <v>44439</v>
      </c>
      <c r="T172" s="7">
        <v>8</v>
      </c>
      <c r="U172" s="7">
        <v>0.59735476523394404</v>
      </c>
      <c r="V172" s="6">
        <v>44982</v>
      </c>
      <c r="W172" s="7">
        <v>0.16822758298431501</v>
      </c>
    </row>
    <row r="173" spans="1:23" x14ac:dyDescent="0.3">
      <c r="A173" s="2" t="s">
        <v>216</v>
      </c>
      <c r="B173" s="4">
        <f>My_trades[[#This Row],[Date sold]]-My_trades[[#This Row],[Date added]]</f>
        <v>565</v>
      </c>
      <c r="C173" s="5">
        <f>(My_trades[[#This Row],[Sell Price]]-My_trades[[#This Row],[Buy Price]])*My_trades[[#This Row],[Quantity]]</f>
        <v>-0.68743133338791007</v>
      </c>
      <c r="I173"/>
      <c r="S173" s="6">
        <v>44449</v>
      </c>
      <c r="T173" s="7">
        <v>6</v>
      </c>
      <c r="U173" s="7">
        <v>0.26280269378864801</v>
      </c>
      <c r="V173" s="6">
        <v>45014</v>
      </c>
      <c r="W173" s="7">
        <v>0.14823080489066301</v>
      </c>
    </row>
    <row r="174" spans="1:23" x14ac:dyDescent="0.3">
      <c r="A174" s="2" t="s">
        <v>217</v>
      </c>
      <c r="B174" s="4">
        <f>My_trades[[#This Row],[Date sold]]-My_trades[[#This Row],[Date added]]</f>
        <v>229</v>
      </c>
      <c r="C174" s="5">
        <f>(My_trades[[#This Row],[Sell Price]]-My_trades[[#This Row],[Buy Price]])*My_trades[[#This Row],[Quantity]]</f>
        <v>-1.0710616568015761</v>
      </c>
      <c r="I174"/>
      <c r="S174" s="6">
        <v>44779</v>
      </c>
      <c r="T174" s="7">
        <v>4</v>
      </c>
      <c r="U174" s="7">
        <v>0.90284110874477896</v>
      </c>
      <c r="V174" s="6">
        <v>45008</v>
      </c>
      <c r="W174" s="7">
        <v>0.63507569454438495</v>
      </c>
    </row>
    <row r="175" spans="1:23" x14ac:dyDescent="0.3">
      <c r="A175" s="2" t="s">
        <v>218</v>
      </c>
      <c r="B175" s="4">
        <f>My_trades[[#This Row],[Date sold]]-My_trades[[#This Row],[Date added]]</f>
        <v>753</v>
      </c>
      <c r="C175" s="5">
        <f>(My_trades[[#This Row],[Sell Price]]-My_trades[[#This Row],[Buy Price]])*My_trades[[#This Row],[Quantity]]</f>
        <v>-2.6230882843513141</v>
      </c>
      <c r="I175"/>
      <c r="S175" s="6">
        <v>44241</v>
      </c>
      <c r="T175" s="7">
        <v>6</v>
      </c>
      <c r="U175" s="7">
        <v>0.98199261995326603</v>
      </c>
      <c r="V175" s="6">
        <v>44994</v>
      </c>
      <c r="W175" s="7">
        <v>0.54481123922804697</v>
      </c>
    </row>
    <row r="176" spans="1:23" x14ac:dyDescent="0.3">
      <c r="A176" s="2" t="s">
        <v>219</v>
      </c>
      <c r="B176" s="4">
        <f>My_trades[[#This Row],[Date sold]]-My_trades[[#This Row],[Date added]]</f>
        <v>838</v>
      </c>
      <c r="C176" s="5">
        <f>(My_trades[[#This Row],[Sell Price]]-My_trades[[#This Row],[Buy Price]])*My_trades[[#This Row],[Quantity]]</f>
        <v>-2.5022226206590386</v>
      </c>
      <c r="I176"/>
      <c r="S176" s="6">
        <v>44229</v>
      </c>
      <c r="T176" s="7">
        <v>3</v>
      </c>
      <c r="U176" s="7">
        <v>0.84716039463076198</v>
      </c>
      <c r="V176" s="6">
        <v>45067</v>
      </c>
      <c r="W176" s="7">
        <v>1.3086187744415801E-2</v>
      </c>
    </row>
    <row r="177" spans="1:23" x14ac:dyDescent="0.3">
      <c r="A177" s="2" t="s">
        <v>220</v>
      </c>
      <c r="B177" s="4">
        <f>My_trades[[#This Row],[Date sold]]-My_trades[[#This Row],[Date added]]</f>
        <v>172</v>
      </c>
      <c r="C177" s="5">
        <f>(My_trades[[#This Row],[Sell Price]]-My_trades[[#This Row],[Buy Price]])*My_trades[[#This Row],[Quantity]]</f>
        <v>-1.5256033160767555</v>
      </c>
      <c r="I177"/>
      <c r="S177" s="6">
        <v>44836</v>
      </c>
      <c r="T177" s="7">
        <v>5</v>
      </c>
      <c r="U177" s="7">
        <v>0.30637569785375002</v>
      </c>
      <c r="V177" s="6">
        <v>45008</v>
      </c>
      <c r="W177" s="7">
        <v>1.25503463839893E-3</v>
      </c>
    </row>
    <row r="178" spans="1:23" x14ac:dyDescent="0.3">
      <c r="A178" s="2" t="s">
        <v>221</v>
      </c>
      <c r="B178" s="4">
        <f>My_trades[[#This Row],[Date sold]]-My_trades[[#This Row],[Date added]]</f>
        <v>795</v>
      </c>
      <c r="C178" s="5">
        <f>(My_trades[[#This Row],[Sell Price]]-My_trades[[#This Row],[Buy Price]])*My_trades[[#This Row],[Quantity]]</f>
        <v>0.58011727073419816</v>
      </c>
      <c r="I178"/>
      <c r="S178" s="6">
        <v>44211</v>
      </c>
      <c r="T178" s="7">
        <v>6</v>
      </c>
      <c r="U178" s="7">
        <v>0.76879912576772802</v>
      </c>
      <c r="V178" s="6">
        <v>45006</v>
      </c>
      <c r="W178" s="7">
        <v>0.86548533755676105</v>
      </c>
    </row>
    <row r="179" spans="1:23" x14ac:dyDescent="0.3">
      <c r="A179" s="2" t="s">
        <v>222</v>
      </c>
      <c r="B179" s="4">
        <f>My_trades[[#This Row],[Date sold]]-My_trades[[#This Row],[Date added]]</f>
        <v>490</v>
      </c>
      <c r="C179" s="5">
        <f>(My_trades[[#This Row],[Sell Price]]-My_trades[[#This Row],[Buy Price]])*My_trades[[#This Row],[Quantity]]</f>
        <v>0.86283924251520117</v>
      </c>
      <c r="I179"/>
      <c r="S179" s="6">
        <v>44514</v>
      </c>
      <c r="T179" s="7">
        <v>7</v>
      </c>
      <c r="U179" s="7">
        <v>0.38563992038543599</v>
      </c>
      <c r="V179" s="6">
        <v>45004</v>
      </c>
      <c r="W179" s="7">
        <v>0.508902669316179</v>
      </c>
    </row>
    <row r="180" spans="1:23" x14ac:dyDescent="0.3">
      <c r="A180" s="2" t="s">
        <v>223</v>
      </c>
      <c r="B180" s="4">
        <f>My_trades[[#This Row],[Date sold]]-My_trades[[#This Row],[Date added]]</f>
        <v>712</v>
      </c>
      <c r="C180" s="5">
        <f>(My_trades[[#This Row],[Sell Price]]-My_trades[[#This Row],[Buy Price]])*My_trades[[#This Row],[Quantity]]</f>
        <v>1.1097043774273523</v>
      </c>
      <c r="I180"/>
      <c r="S180" s="6">
        <v>44309</v>
      </c>
      <c r="T180" s="7">
        <v>8</v>
      </c>
      <c r="U180" s="7">
        <v>0.85335977277591302</v>
      </c>
      <c r="V180" s="6">
        <v>45021</v>
      </c>
      <c r="W180" s="7">
        <v>0.99207281995433205</v>
      </c>
    </row>
    <row r="181" spans="1:23" x14ac:dyDescent="0.3">
      <c r="A181" s="2" t="s">
        <v>224</v>
      </c>
      <c r="B181" s="4">
        <f>My_trades[[#This Row],[Date sold]]-My_trades[[#This Row],[Date added]]</f>
        <v>676</v>
      </c>
      <c r="C181" s="5">
        <f>(My_trades[[#This Row],[Sell Price]]-My_trades[[#This Row],[Buy Price]])*My_trades[[#This Row],[Quantity]]</f>
        <v>1.7559577929617052</v>
      </c>
      <c r="I181"/>
      <c r="S181" s="6">
        <v>44289</v>
      </c>
      <c r="T181" s="7">
        <v>5</v>
      </c>
      <c r="U181" s="7">
        <v>0.28334897654743202</v>
      </c>
      <c r="V181" s="6">
        <v>44965</v>
      </c>
      <c r="W181" s="7">
        <v>0.63454053513977304</v>
      </c>
    </row>
    <row r="182" spans="1:23" x14ac:dyDescent="0.3">
      <c r="A182" s="2" t="s">
        <v>225</v>
      </c>
      <c r="B182" s="4">
        <f>My_trades[[#This Row],[Date sold]]-My_trades[[#This Row],[Date added]]</f>
        <v>501</v>
      </c>
      <c r="C182" s="5">
        <f>(My_trades[[#This Row],[Sell Price]]-My_trades[[#This Row],[Buy Price]])*My_trades[[#This Row],[Quantity]]</f>
        <v>1.6595270008323837</v>
      </c>
      <c r="I182"/>
      <c r="S182" s="6">
        <v>44572</v>
      </c>
      <c r="T182" s="7">
        <v>3</v>
      </c>
      <c r="U182" s="7">
        <v>0.117748642112043</v>
      </c>
      <c r="V182" s="6">
        <v>45073</v>
      </c>
      <c r="W182" s="7">
        <v>0.67092430905617095</v>
      </c>
    </row>
    <row r="183" spans="1:23" x14ac:dyDescent="0.3">
      <c r="A183" s="2" t="s">
        <v>226</v>
      </c>
      <c r="B183" s="4">
        <f>My_trades[[#This Row],[Date sold]]-My_trades[[#This Row],[Date added]]</f>
        <v>231</v>
      </c>
      <c r="C183" s="5">
        <f>(My_trades[[#This Row],[Sell Price]]-My_trades[[#This Row],[Buy Price]])*My_trades[[#This Row],[Quantity]]</f>
        <v>-2.634202273976245</v>
      </c>
      <c r="I183"/>
      <c r="S183" s="6">
        <v>44790</v>
      </c>
      <c r="T183" s="7">
        <v>5</v>
      </c>
      <c r="U183" s="7">
        <v>0.76783916519082696</v>
      </c>
      <c r="V183" s="6">
        <v>45021</v>
      </c>
      <c r="W183" s="7">
        <v>0.24099871039557799</v>
      </c>
    </row>
    <row r="184" spans="1:23" x14ac:dyDescent="0.3">
      <c r="A184" s="2" t="s">
        <v>227</v>
      </c>
      <c r="B184" s="4">
        <f>My_trades[[#This Row],[Date sold]]-My_trades[[#This Row],[Date added]]</f>
        <v>285</v>
      </c>
      <c r="C184" s="5">
        <f>(My_trades[[#This Row],[Sell Price]]-My_trades[[#This Row],[Buy Price]])*My_trades[[#This Row],[Quantity]]</f>
        <v>0.32849767871635599</v>
      </c>
      <c r="I184"/>
      <c r="S184" s="6">
        <v>44766</v>
      </c>
      <c r="T184" s="7">
        <v>2</v>
      </c>
      <c r="U184" s="7">
        <v>0.14806713315151801</v>
      </c>
      <c r="V184" s="6">
        <v>45051</v>
      </c>
      <c r="W184" s="7">
        <v>0.312315972509696</v>
      </c>
    </row>
    <row r="185" spans="1:23" x14ac:dyDescent="0.3">
      <c r="A185" s="2" t="s">
        <v>228</v>
      </c>
      <c r="B185" s="4">
        <f>My_trades[[#This Row],[Date sold]]-My_trades[[#This Row],[Date added]]</f>
        <v>460</v>
      </c>
      <c r="C185" s="5">
        <f>(My_trades[[#This Row],[Sell Price]]-My_trades[[#This Row],[Buy Price]])*My_trades[[#This Row],[Quantity]]</f>
        <v>2.8849163151886512</v>
      </c>
      <c r="I185"/>
      <c r="S185" s="6">
        <v>44577</v>
      </c>
      <c r="T185" s="7">
        <v>7</v>
      </c>
      <c r="U185" s="7">
        <v>7.8885651390256904E-3</v>
      </c>
      <c r="V185" s="6">
        <v>45037</v>
      </c>
      <c r="W185" s="7">
        <v>0.42001946730883299</v>
      </c>
    </row>
    <row r="186" spans="1:23" x14ac:dyDescent="0.3">
      <c r="A186" s="2" t="s">
        <v>229</v>
      </c>
      <c r="B186" s="4">
        <f>My_trades[[#This Row],[Date sold]]-My_trades[[#This Row],[Date added]]</f>
        <v>589</v>
      </c>
      <c r="C186" s="5">
        <f>(My_trades[[#This Row],[Sell Price]]-My_trades[[#This Row],[Buy Price]])*My_trades[[#This Row],[Quantity]]</f>
        <v>3.5109906860680162</v>
      </c>
      <c r="I186"/>
      <c r="S186" s="6">
        <v>44416</v>
      </c>
      <c r="T186" s="7">
        <v>7</v>
      </c>
      <c r="U186" s="7">
        <v>6.5026558074850402E-2</v>
      </c>
      <c r="V186" s="6">
        <v>45005</v>
      </c>
      <c r="W186" s="7">
        <v>0.566596656084567</v>
      </c>
    </row>
    <row r="187" spans="1:23" x14ac:dyDescent="0.3">
      <c r="A187" s="2" t="s">
        <v>230</v>
      </c>
      <c r="B187" s="4">
        <f>My_trades[[#This Row],[Date sold]]-My_trades[[#This Row],[Date added]]</f>
        <v>80</v>
      </c>
      <c r="C187" s="5">
        <f>(My_trades[[#This Row],[Sell Price]]-My_trades[[#This Row],[Buy Price]])*My_trades[[#This Row],[Quantity]]</f>
        <v>-0.13532525139256799</v>
      </c>
      <c r="I187"/>
      <c r="S187" s="6">
        <v>44883</v>
      </c>
      <c r="T187" s="7">
        <v>1</v>
      </c>
      <c r="U187" s="7">
        <v>0.30777843623572698</v>
      </c>
      <c r="V187" s="6">
        <v>44963</v>
      </c>
      <c r="W187" s="7">
        <v>0.172453184843159</v>
      </c>
    </row>
    <row r="188" spans="1:23" x14ac:dyDescent="0.3">
      <c r="A188" s="2" t="s">
        <v>231</v>
      </c>
      <c r="B188" s="4">
        <f>My_trades[[#This Row],[Date sold]]-My_trades[[#This Row],[Date added]]</f>
        <v>747</v>
      </c>
      <c r="C188" s="5">
        <f>(My_trades[[#This Row],[Sell Price]]-My_trades[[#This Row],[Buy Price]])*My_trades[[#This Row],[Quantity]]</f>
        <v>0.20832661022901502</v>
      </c>
      <c r="I188"/>
      <c r="S188" s="6">
        <v>44214</v>
      </c>
      <c r="T188" s="7">
        <v>5</v>
      </c>
      <c r="U188" s="7">
        <v>0.1874453216227</v>
      </c>
      <c r="V188" s="6">
        <v>44961</v>
      </c>
      <c r="W188" s="7">
        <v>0.22911064366850301</v>
      </c>
    </row>
    <row r="189" spans="1:23" x14ac:dyDescent="0.3">
      <c r="A189" s="2" t="s">
        <v>232</v>
      </c>
      <c r="B189" s="4">
        <f>My_trades[[#This Row],[Date sold]]-My_trades[[#This Row],[Date added]]</f>
        <v>623</v>
      </c>
      <c r="C189" s="5">
        <f>(My_trades[[#This Row],[Sell Price]]-My_trades[[#This Row],[Buy Price]])*My_trades[[#This Row],[Quantity]]</f>
        <v>-0.78347954885382642</v>
      </c>
      <c r="I189"/>
      <c r="S189" s="6">
        <v>44403</v>
      </c>
      <c r="T189" s="7">
        <v>6</v>
      </c>
      <c r="U189" s="7">
        <v>0.83300140406454304</v>
      </c>
      <c r="V189" s="6">
        <v>45026</v>
      </c>
      <c r="W189" s="7">
        <v>0.70242147925557197</v>
      </c>
    </row>
    <row r="190" spans="1:23" x14ac:dyDescent="0.3">
      <c r="A190" s="2" t="s">
        <v>233</v>
      </c>
      <c r="B190" s="4">
        <f>My_trades[[#This Row],[Date sold]]-My_trades[[#This Row],[Date added]]</f>
        <v>342</v>
      </c>
      <c r="C190" s="5">
        <f>(My_trades[[#This Row],[Sell Price]]-My_trades[[#This Row],[Buy Price]])*My_trades[[#This Row],[Quantity]]</f>
        <v>0.19416143448368101</v>
      </c>
      <c r="I190"/>
      <c r="S190" s="6">
        <v>44694</v>
      </c>
      <c r="T190" s="7">
        <v>3</v>
      </c>
      <c r="U190" s="7">
        <v>0.27727516856333601</v>
      </c>
      <c r="V190" s="6">
        <v>45036</v>
      </c>
      <c r="W190" s="7">
        <v>0.34199564672456301</v>
      </c>
    </row>
    <row r="191" spans="1:23" x14ac:dyDescent="0.3">
      <c r="A191" s="2" t="s">
        <v>234</v>
      </c>
      <c r="B191" s="4">
        <f>My_trades[[#This Row],[Date sold]]-My_trades[[#This Row],[Date added]]</f>
        <v>752</v>
      </c>
      <c r="C191" s="5">
        <f>(My_trades[[#This Row],[Sell Price]]-My_trades[[#This Row],[Buy Price]])*My_trades[[#This Row],[Quantity]]</f>
        <v>0.41722476579256806</v>
      </c>
      <c r="I191"/>
      <c r="S191" s="6">
        <v>44199</v>
      </c>
      <c r="T191" s="7">
        <v>2</v>
      </c>
      <c r="U191" s="7">
        <v>0.22356266053190499</v>
      </c>
      <c r="V191" s="6">
        <v>44951</v>
      </c>
      <c r="W191" s="7">
        <v>0.43217504342818902</v>
      </c>
    </row>
    <row r="192" spans="1:23" x14ac:dyDescent="0.3">
      <c r="A192" s="2" t="s">
        <v>235</v>
      </c>
      <c r="B192" s="4">
        <f>My_trades[[#This Row],[Date sold]]-My_trades[[#This Row],[Date added]]</f>
        <v>369</v>
      </c>
      <c r="C192" s="5">
        <f>(My_trades[[#This Row],[Sell Price]]-My_trades[[#This Row],[Buy Price]])*My_trades[[#This Row],[Quantity]]</f>
        <v>1.9271956549415645</v>
      </c>
      <c r="I192"/>
      <c r="S192" s="6">
        <v>44606</v>
      </c>
      <c r="T192" s="7">
        <v>6</v>
      </c>
      <c r="U192" s="7">
        <v>0.64447099494037297</v>
      </c>
      <c r="V192" s="6">
        <v>44975</v>
      </c>
      <c r="W192" s="7">
        <v>0.96567027076396705</v>
      </c>
    </row>
    <row r="193" spans="1:23" x14ac:dyDescent="0.3">
      <c r="A193" s="2" t="s">
        <v>236</v>
      </c>
      <c r="B193" s="4">
        <f>My_trades[[#This Row],[Date sold]]-My_trades[[#This Row],[Date added]]</f>
        <v>181</v>
      </c>
      <c r="C193" s="5">
        <f>(My_trades[[#This Row],[Sell Price]]-My_trades[[#This Row],[Buy Price]])*My_trades[[#This Row],[Quantity]]</f>
        <v>-0.66490583255463598</v>
      </c>
      <c r="I193"/>
      <c r="S193" s="6">
        <v>44760</v>
      </c>
      <c r="T193" s="7">
        <v>6</v>
      </c>
      <c r="U193" s="7">
        <v>0.91937449423976403</v>
      </c>
      <c r="V193" s="6">
        <v>44941</v>
      </c>
      <c r="W193" s="7">
        <v>0.80855685548065803</v>
      </c>
    </row>
    <row r="194" spans="1:23" x14ac:dyDescent="0.3">
      <c r="A194" s="2" t="s">
        <v>237</v>
      </c>
      <c r="B194" s="4">
        <f>My_trades[[#This Row],[Date sold]]-My_trades[[#This Row],[Date added]]</f>
        <v>552</v>
      </c>
      <c r="C194" s="5">
        <f>(My_trades[[#This Row],[Sell Price]]-My_trades[[#This Row],[Buy Price]])*My_trades[[#This Row],[Quantity]]</f>
        <v>0.27086608677204504</v>
      </c>
      <c r="I194"/>
      <c r="S194" s="6">
        <v>44391</v>
      </c>
      <c r="T194" s="7">
        <v>1</v>
      </c>
      <c r="U194" s="7">
        <v>0.26377783191771698</v>
      </c>
      <c r="V194" s="6">
        <v>44943</v>
      </c>
      <c r="W194" s="7">
        <v>0.53464391868976202</v>
      </c>
    </row>
    <row r="195" spans="1:23" x14ac:dyDescent="0.3">
      <c r="A195" s="2" t="s">
        <v>238</v>
      </c>
      <c r="B195" s="4">
        <f>My_trades[[#This Row],[Date sold]]-My_trades[[#This Row],[Date added]]</f>
        <v>526</v>
      </c>
      <c r="C195" s="5">
        <f>(My_trades[[#This Row],[Sell Price]]-My_trades[[#This Row],[Buy Price]])*My_trades[[#This Row],[Quantity]]</f>
        <v>-0.58197825859747199</v>
      </c>
      <c r="I195"/>
      <c r="S195" s="6">
        <v>44457</v>
      </c>
      <c r="T195" s="7">
        <v>3</v>
      </c>
      <c r="U195" s="7">
        <v>0.48376018648020602</v>
      </c>
      <c r="V195" s="6">
        <v>44983</v>
      </c>
      <c r="W195" s="7">
        <v>0.28976743361438201</v>
      </c>
    </row>
    <row r="196" spans="1:23" x14ac:dyDescent="0.3">
      <c r="A196" s="2" t="s">
        <v>239</v>
      </c>
      <c r="B196" s="4">
        <f>My_trades[[#This Row],[Date sold]]-My_trades[[#This Row],[Date added]]</f>
        <v>539</v>
      </c>
      <c r="C196" s="5">
        <f>(My_trades[[#This Row],[Sell Price]]-My_trades[[#This Row],[Buy Price]])*My_trades[[#This Row],[Quantity]]</f>
        <v>0.3873951776782758</v>
      </c>
      <c r="I196"/>
      <c r="S196" s="6">
        <v>44409</v>
      </c>
      <c r="T196" s="7">
        <v>2</v>
      </c>
      <c r="U196" s="7">
        <v>0.56649641364178105</v>
      </c>
      <c r="V196" s="6">
        <v>44948</v>
      </c>
      <c r="W196" s="7">
        <v>0.76019400248091895</v>
      </c>
    </row>
    <row r="197" spans="1:23" x14ac:dyDescent="0.3">
      <c r="A197" s="2" t="s">
        <v>240</v>
      </c>
      <c r="B197" s="4">
        <f>My_trades[[#This Row],[Date sold]]-My_trades[[#This Row],[Date added]]</f>
        <v>708</v>
      </c>
      <c r="C197" s="5">
        <f>(My_trades[[#This Row],[Sell Price]]-My_trades[[#This Row],[Buy Price]])*My_trades[[#This Row],[Quantity]]</f>
        <v>-6.5338594818558899</v>
      </c>
      <c r="I197"/>
      <c r="S197" s="6">
        <v>44229</v>
      </c>
      <c r="T197" s="7">
        <v>10</v>
      </c>
      <c r="U197" s="7">
        <v>0.81758392927810297</v>
      </c>
      <c r="V197" s="6">
        <v>44937</v>
      </c>
      <c r="W197" s="7">
        <v>0.16419798109251399</v>
      </c>
    </row>
    <row r="198" spans="1:23" x14ac:dyDescent="0.3">
      <c r="A198" s="2" t="s">
        <v>241</v>
      </c>
      <c r="B198" s="4">
        <f>My_trades[[#This Row],[Date sold]]-My_trades[[#This Row],[Date added]]</f>
        <v>593</v>
      </c>
      <c r="C198" s="5">
        <f>(My_trades[[#This Row],[Sell Price]]-My_trades[[#This Row],[Buy Price]])*My_trades[[#This Row],[Quantity]]</f>
        <v>-4.2252865132784978E-2</v>
      </c>
      <c r="I198"/>
      <c r="S198" s="6">
        <v>44412</v>
      </c>
      <c r="T198" s="7">
        <v>5</v>
      </c>
      <c r="U198" s="7">
        <v>0.24147425161639699</v>
      </c>
      <c r="V198" s="6">
        <v>45005</v>
      </c>
      <c r="W198" s="7">
        <v>0.23302367858983999</v>
      </c>
    </row>
    <row r="199" spans="1:23" x14ac:dyDescent="0.3">
      <c r="A199" s="2" t="s">
        <v>242</v>
      </c>
      <c r="B199" s="4">
        <f>My_trades[[#This Row],[Date sold]]-My_trades[[#This Row],[Date added]]</f>
        <v>159</v>
      </c>
      <c r="C199" s="5">
        <f>(My_trades[[#This Row],[Sell Price]]-My_trades[[#This Row],[Buy Price]])*My_trades[[#This Row],[Quantity]]</f>
        <v>1.4526226469951637</v>
      </c>
      <c r="I199"/>
      <c r="S199" s="6">
        <v>44828</v>
      </c>
      <c r="T199" s="7">
        <v>6</v>
      </c>
      <c r="U199" s="7">
        <v>0.51291771398490105</v>
      </c>
      <c r="V199" s="6">
        <v>44987</v>
      </c>
      <c r="W199" s="7">
        <v>0.755021488484095</v>
      </c>
    </row>
    <row r="200" spans="1:23" x14ac:dyDescent="0.3">
      <c r="A200" s="2" t="s">
        <v>243</v>
      </c>
      <c r="B200" s="4">
        <f>My_trades[[#This Row],[Date sold]]-My_trades[[#This Row],[Date added]]</f>
        <v>295</v>
      </c>
      <c r="C200" s="5">
        <f>(My_trades[[#This Row],[Sell Price]]-My_trades[[#This Row],[Buy Price]])*My_trades[[#This Row],[Quantity]]</f>
        <v>2.3299770433649041</v>
      </c>
      <c r="I200"/>
      <c r="S200" s="6">
        <v>44742</v>
      </c>
      <c r="T200" s="7">
        <v>9</v>
      </c>
      <c r="U200" s="7">
        <v>0.30094368268289601</v>
      </c>
      <c r="V200" s="6">
        <v>45037</v>
      </c>
      <c r="W200" s="7">
        <v>0.55983002083455202</v>
      </c>
    </row>
    <row r="201" spans="1:23" x14ac:dyDescent="0.3">
      <c r="A201" s="2" t="s">
        <v>244</v>
      </c>
      <c r="B201" s="4">
        <f>My_trades[[#This Row],[Date sold]]-My_trades[[#This Row],[Date added]]</f>
        <v>476</v>
      </c>
      <c r="C201" s="5">
        <f>(My_trades[[#This Row],[Sell Price]]-My_trades[[#This Row],[Buy Price]])*My_trades[[#This Row],[Quantity]]</f>
        <v>-6.204338418382064</v>
      </c>
      <c r="I201"/>
      <c r="S201" s="6">
        <v>44502</v>
      </c>
      <c r="T201" s="7">
        <v>8</v>
      </c>
      <c r="U201" s="7">
        <v>0.91352809441905303</v>
      </c>
      <c r="V201" s="6">
        <v>44978</v>
      </c>
      <c r="W201" s="7">
        <v>0.137985792121295</v>
      </c>
    </row>
    <row r="202" spans="1:23" x14ac:dyDescent="0.3">
      <c r="I202"/>
    </row>
    <row r="203" spans="1:23" x14ac:dyDescent="0.3">
      <c r="I203"/>
    </row>
    <row r="204" spans="1:23" x14ac:dyDescent="0.3">
      <c r="I204"/>
    </row>
    <row r="205" spans="1:23" x14ac:dyDescent="0.3">
      <c r="I205"/>
    </row>
    <row r="206" spans="1:23" x14ac:dyDescent="0.3">
      <c r="I206"/>
    </row>
    <row r="207" spans="1:23" x14ac:dyDescent="0.3">
      <c r="I207"/>
    </row>
    <row r="208" spans="1:23" x14ac:dyDescent="0.3">
      <c r="I208"/>
    </row>
    <row r="209" spans="9:9" x14ac:dyDescent="0.3">
      <c r="I209"/>
    </row>
    <row r="210" spans="9:9" x14ac:dyDescent="0.3">
      <c r="I210"/>
    </row>
    <row r="211" spans="9:9" x14ac:dyDescent="0.3">
      <c r="I211"/>
    </row>
    <row r="212" spans="9:9" x14ac:dyDescent="0.3">
      <c r="I212"/>
    </row>
    <row r="213" spans="9:9" x14ac:dyDescent="0.3">
      <c r="I213"/>
    </row>
    <row r="214" spans="9:9" x14ac:dyDescent="0.3">
      <c r="I214"/>
    </row>
    <row r="215" spans="9:9" x14ac:dyDescent="0.3">
      <c r="I215"/>
    </row>
    <row r="216" spans="9:9" x14ac:dyDescent="0.3">
      <c r="I216"/>
    </row>
    <row r="217" spans="9:9" x14ac:dyDescent="0.3">
      <c r="I217"/>
    </row>
    <row r="218" spans="9:9" x14ac:dyDescent="0.3">
      <c r="I218"/>
    </row>
    <row r="219" spans="9:9" x14ac:dyDescent="0.3">
      <c r="I219"/>
    </row>
    <row r="220" spans="9:9" x14ac:dyDescent="0.3">
      <c r="I220"/>
    </row>
    <row r="221" spans="9:9" x14ac:dyDescent="0.3">
      <c r="I221"/>
    </row>
    <row r="222" spans="9:9" x14ac:dyDescent="0.3">
      <c r="I222"/>
    </row>
    <row r="223" spans="9:9" x14ac:dyDescent="0.3">
      <c r="I223"/>
    </row>
    <row r="224" spans="9:9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/>
    </row>
    <row r="255" spans="9:9" x14ac:dyDescent="0.3">
      <c r="I255"/>
    </row>
    <row r="256" spans="9:9" x14ac:dyDescent="0.3">
      <c r="I256"/>
    </row>
    <row r="257" spans="9:9" x14ac:dyDescent="0.3">
      <c r="I257"/>
    </row>
    <row r="258" spans="9:9" x14ac:dyDescent="0.3">
      <c r="I258"/>
    </row>
    <row r="259" spans="9:9" x14ac:dyDescent="0.3">
      <c r="I259"/>
    </row>
    <row r="260" spans="9:9" x14ac:dyDescent="0.3">
      <c r="I260"/>
    </row>
    <row r="261" spans="9:9" x14ac:dyDescent="0.3">
      <c r="I261"/>
    </row>
    <row r="262" spans="9:9" x14ac:dyDescent="0.3">
      <c r="I262"/>
    </row>
    <row r="263" spans="9:9" x14ac:dyDescent="0.3">
      <c r="I263"/>
    </row>
    <row r="264" spans="9:9" x14ac:dyDescent="0.3">
      <c r="I264"/>
    </row>
    <row r="265" spans="9:9" x14ac:dyDescent="0.3">
      <c r="I265"/>
    </row>
    <row r="266" spans="9:9" x14ac:dyDescent="0.3">
      <c r="I266"/>
    </row>
    <row r="267" spans="9:9" x14ac:dyDescent="0.3">
      <c r="I267"/>
    </row>
    <row r="268" spans="9:9" x14ac:dyDescent="0.3">
      <c r="I268"/>
    </row>
    <row r="269" spans="9:9" x14ac:dyDescent="0.3">
      <c r="I269"/>
    </row>
    <row r="270" spans="9:9" x14ac:dyDescent="0.3">
      <c r="I270"/>
    </row>
    <row r="271" spans="9:9" x14ac:dyDescent="0.3">
      <c r="I271"/>
    </row>
    <row r="272" spans="9:9" x14ac:dyDescent="0.3">
      <c r="I272"/>
    </row>
    <row r="273" spans="9:9" x14ac:dyDescent="0.3">
      <c r="I273"/>
    </row>
    <row r="274" spans="9:9" x14ac:dyDescent="0.3">
      <c r="I274"/>
    </row>
    <row r="275" spans="9:9" x14ac:dyDescent="0.3">
      <c r="I275"/>
    </row>
    <row r="276" spans="9:9" x14ac:dyDescent="0.3">
      <c r="I276"/>
    </row>
    <row r="277" spans="9:9" x14ac:dyDescent="0.3">
      <c r="I277"/>
    </row>
    <row r="278" spans="9:9" x14ac:dyDescent="0.3">
      <c r="I278"/>
    </row>
    <row r="279" spans="9:9" x14ac:dyDescent="0.3">
      <c r="I279"/>
    </row>
    <row r="280" spans="9:9" x14ac:dyDescent="0.3">
      <c r="I280"/>
    </row>
    <row r="281" spans="9:9" x14ac:dyDescent="0.3">
      <c r="I281"/>
    </row>
    <row r="282" spans="9:9" x14ac:dyDescent="0.3">
      <c r="I282"/>
    </row>
    <row r="283" spans="9:9" x14ac:dyDescent="0.3">
      <c r="I283"/>
    </row>
    <row r="284" spans="9:9" x14ac:dyDescent="0.3">
      <c r="I284"/>
    </row>
    <row r="285" spans="9:9" x14ac:dyDescent="0.3">
      <c r="I285"/>
    </row>
    <row r="286" spans="9:9" x14ac:dyDescent="0.3">
      <c r="I286"/>
    </row>
    <row r="287" spans="9:9" x14ac:dyDescent="0.3">
      <c r="I287"/>
    </row>
    <row r="288" spans="9:9" x14ac:dyDescent="0.3">
      <c r="I288"/>
    </row>
    <row r="289" spans="9:9" x14ac:dyDescent="0.3">
      <c r="I289"/>
    </row>
    <row r="290" spans="9:9" x14ac:dyDescent="0.3">
      <c r="I290"/>
    </row>
    <row r="291" spans="9:9" x14ac:dyDescent="0.3">
      <c r="I291"/>
    </row>
    <row r="292" spans="9:9" x14ac:dyDescent="0.3">
      <c r="I292"/>
    </row>
    <row r="293" spans="9:9" x14ac:dyDescent="0.3">
      <c r="I293"/>
    </row>
    <row r="294" spans="9:9" x14ac:dyDescent="0.3">
      <c r="I294"/>
    </row>
    <row r="295" spans="9:9" x14ac:dyDescent="0.3">
      <c r="I295"/>
    </row>
    <row r="296" spans="9:9" x14ac:dyDescent="0.3">
      <c r="I296"/>
    </row>
    <row r="297" spans="9:9" x14ac:dyDescent="0.3">
      <c r="I297"/>
    </row>
    <row r="298" spans="9:9" x14ac:dyDescent="0.3">
      <c r="I298"/>
    </row>
    <row r="299" spans="9:9" x14ac:dyDescent="0.3">
      <c r="I299"/>
    </row>
    <row r="300" spans="9:9" x14ac:dyDescent="0.3">
      <c r="I300"/>
    </row>
    <row r="301" spans="9:9" x14ac:dyDescent="0.3">
      <c r="I301"/>
    </row>
    <row r="302" spans="9:9" x14ac:dyDescent="0.3">
      <c r="I302"/>
    </row>
    <row r="303" spans="9:9" x14ac:dyDescent="0.3">
      <c r="I303"/>
    </row>
    <row r="304" spans="9:9" x14ac:dyDescent="0.3">
      <c r="I304"/>
    </row>
    <row r="305" spans="9:9" x14ac:dyDescent="0.3">
      <c r="I305"/>
    </row>
    <row r="306" spans="9:9" x14ac:dyDescent="0.3">
      <c r="I306"/>
    </row>
    <row r="307" spans="9:9" x14ac:dyDescent="0.3">
      <c r="I307"/>
    </row>
    <row r="308" spans="9:9" x14ac:dyDescent="0.3">
      <c r="I308"/>
    </row>
    <row r="309" spans="9:9" x14ac:dyDescent="0.3">
      <c r="I309"/>
    </row>
    <row r="310" spans="9:9" x14ac:dyDescent="0.3">
      <c r="I310"/>
    </row>
    <row r="311" spans="9:9" x14ac:dyDescent="0.3">
      <c r="I311"/>
    </row>
    <row r="312" spans="9:9" x14ac:dyDescent="0.3">
      <c r="I312"/>
    </row>
    <row r="313" spans="9:9" x14ac:dyDescent="0.3">
      <c r="I313"/>
    </row>
    <row r="314" spans="9:9" x14ac:dyDescent="0.3">
      <c r="I314"/>
    </row>
    <row r="315" spans="9:9" x14ac:dyDescent="0.3">
      <c r="I315"/>
    </row>
    <row r="316" spans="9:9" x14ac:dyDescent="0.3">
      <c r="I316"/>
    </row>
    <row r="317" spans="9:9" x14ac:dyDescent="0.3">
      <c r="I317"/>
    </row>
    <row r="318" spans="9:9" x14ac:dyDescent="0.3">
      <c r="I318"/>
    </row>
    <row r="319" spans="9:9" x14ac:dyDescent="0.3">
      <c r="I319"/>
    </row>
    <row r="320" spans="9:9" x14ac:dyDescent="0.3">
      <c r="I320"/>
    </row>
    <row r="321" spans="9:9" x14ac:dyDescent="0.3">
      <c r="I321"/>
    </row>
    <row r="322" spans="9:9" x14ac:dyDescent="0.3">
      <c r="I322"/>
    </row>
    <row r="323" spans="9:9" x14ac:dyDescent="0.3">
      <c r="I323"/>
    </row>
    <row r="324" spans="9:9" x14ac:dyDescent="0.3">
      <c r="I324"/>
    </row>
    <row r="325" spans="9:9" x14ac:dyDescent="0.3">
      <c r="I325"/>
    </row>
    <row r="326" spans="9:9" x14ac:dyDescent="0.3">
      <c r="I326"/>
    </row>
    <row r="327" spans="9:9" x14ac:dyDescent="0.3">
      <c r="I327"/>
    </row>
    <row r="328" spans="9:9" x14ac:dyDescent="0.3">
      <c r="I328"/>
    </row>
    <row r="329" spans="9:9" x14ac:dyDescent="0.3">
      <c r="I329"/>
    </row>
    <row r="330" spans="9:9" x14ac:dyDescent="0.3">
      <c r="I330"/>
    </row>
    <row r="331" spans="9:9" x14ac:dyDescent="0.3">
      <c r="I331"/>
    </row>
    <row r="332" spans="9:9" x14ac:dyDescent="0.3">
      <c r="I332"/>
    </row>
    <row r="333" spans="9:9" x14ac:dyDescent="0.3">
      <c r="I333"/>
    </row>
    <row r="334" spans="9:9" x14ac:dyDescent="0.3">
      <c r="I334"/>
    </row>
    <row r="335" spans="9:9" x14ac:dyDescent="0.3">
      <c r="I335"/>
    </row>
    <row r="336" spans="9:9" x14ac:dyDescent="0.3">
      <c r="I336"/>
    </row>
    <row r="337" spans="9:9" x14ac:dyDescent="0.3">
      <c r="I337"/>
    </row>
    <row r="338" spans="9:9" x14ac:dyDescent="0.3">
      <c r="I338"/>
    </row>
    <row r="339" spans="9:9" x14ac:dyDescent="0.3">
      <c r="I339"/>
    </row>
    <row r="340" spans="9:9" x14ac:dyDescent="0.3">
      <c r="I340"/>
    </row>
    <row r="341" spans="9:9" x14ac:dyDescent="0.3">
      <c r="I341"/>
    </row>
    <row r="342" spans="9:9" x14ac:dyDescent="0.3">
      <c r="I342"/>
    </row>
    <row r="343" spans="9:9" x14ac:dyDescent="0.3">
      <c r="I343"/>
    </row>
    <row r="344" spans="9:9" x14ac:dyDescent="0.3">
      <c r="I344"/>
    </row>
    <row r="345" spans="9:9" x14ac:dyDescent="0.3">
      <c r="I345"/>
    </row>
    <row r="346" spans="9:9" x14ac:dyDescent="0.3">
      <c r="I346"/>
    </row>
    <row r="347" spans="9:9" x14ac:dyDescent="0.3">
      <c r="I347"/>
    </row>
    <row r="348" spans="9:9" x14ac:dyDescent="0.3">
      <c r="I348"/>
    </row>
    <row r="349" spans="9:9" x14ac:dyDescent="0.3">
      <c r="I349"/>
    </row>
    <row r="350" spans="9:9" x14ac:dyDescent="0.3">
      <c r="I350"/>
    </row>
    <row r="351" spans="9:9" x14ac:dyDescent="0.3">
      <c r="I351"/>
    </row>
    <row r="352" spans="9:9" x14ac:dyDescent="0.3">
      <c r="I352"/>
    </row>
    <row r="353" spans="9:9" x14ac:dyDescent="0.3">
      <c r="I353"/>
    </row>
    <row r="354" spans="9:9" x14ac:dyDescent="0.3">
      <c r="I354"/>
    </row>
    <row r="355" spans="9:9" x14ac:dyDescent="0.3">
      <c r="I355"/>
    </row>
    <row r="356" spans="9:9" x14ac:dyDescent="0.3">
      <c r="I356"/>
    </row>
    <row r="357" spans="9:9" x14ac:dyDescent="0.3">
      <c r="I357"/>
    </row>
    <row r="358" spans="9:9" x14ac:dyDescent="0.3">
      <c r="I358"/>
    </row>
    <row r="359" spans="9:9" x14ac:dyDescent="0.3">
      <c r="I359"/>
    </row>
    <row r="360" spans="9:9" x14ac:dyDescent="0.3">
      <c r="I360"/>
    </row>
    <row r="361" spans="9:9" x14ac:dyDescent="0.3">
      <c r="I361"/>
    </row>
    <row r="362" spans="9:9" x14ac:dyDescent="0.3">
      <c r="I362"/>
    </row>
    <row r="363" spans="9:9" x14ac:dyDescent="0.3">
      <c r="I363"/>
    </row>
    <row r="364" spans="9:9" x14ac:dyDescent="0.3">
      <c r="I364"/>
    </row>
    <row r="365" spans="9:9" x14ac:dyDescent="0.3">
      <c r="I365"/>
    </row>
    <row r="366" spans="9:9" x14ac:dyDescent="0.3">
      <c r="I366"/>
    </row>
    <row r="367" spans="9:9" x14ac:dyDescent="0.3">
      <c r="I367"/>
    </row>
    <row r="368" spans="9:9" x14ac:dyDescent="0.3">
      <c r="I368"/>
    </row>
    <row r="369" spans="9:9" x14ac:dyDescent="0.3">
      <c r="I369"/>
    </row>
    <row r="370" spans="9:9" x14ac:dyDescent="0.3">
      <c r="I370"/>
    </row>
    <row r="371" spans="9:9" x14ac:dyDescent="0.3">
      <c r="I371"/>
    </row>
    <row r="372" spans="9:9" x14ac:dyDescent="0.3">
      <c r="I372"/>
    </row>
    <row r="373" spans="9:9" x14ac:dyDescent="0.3">
      <c r="I373"/>
    </row>
    <row r="374" spans="9:9" x14ac:dyDescent="0.3">
      <c r="I374"/>
    </row>
    <row r="375" spans="9:9" x14ac:dyDescent="0.3">
      <c r="I375"/>
    </row>
    <row r="376" spans="9:9" x14ac:dyDescent="0.3">
      <c r="I376"/>
    </row>
    <row r="377" spans="9:9" x14ac:dyDescent="0.3">
      <c r="I377"/>
    </row>
    <row r="378" spans="9:9" x14ac:dyDescent="0.3">
      <c r="I378"/>
    </row>
    <row r="379" spans="9:9" x14ac:dyDescent="0.3">
      <c r="I379"/>
    </row>
    <row r="380" spans="9:9" x14ac:dyDescent="0.3">
      <c r="I380"/>
    </row>
    <row r="381" spans="9:9" x14ac:dyDescent="0.3">
      <c r="I381"/>
    </row>
    <row r="382" spans="9:9" x14ac:dyDescent="0.3">
      <c r="I382"/>
    </row>
    <row r="383" spans="9:9" x14ac:dyDescent="0.3">
      <c r="I383"/>
    </row>
    <row r="384" spans="9:9" x14ac:dyDescent="0.3">
      <c r="I384"/>
    </row>
    <row r="385" spans="9:9" x14ac:dyDescent="0.3">
      <c r="I385"/>
    </row>
    <row r="386" spans="9:9" x14ac:dyDescent="0.3">
      <c r="I386"/>
    </row>
    <row r="387" spans="9:9" x14ac:dyDescent="0.3">
      <c r="I387"/>
    </row>
    <row r="388" spans="9:9" x14ac:dyDescent="0.3">
      <c r="I388"/>
    </row>
    <row r="389" spans="9:9" x14ac:dyDescent="0.3">
      <c r="I389"/>
    </row>
    <row r="390" spans="9:9" x14ac:dyDescent="0.3">
      <c r="I390"/>
    </row>
    <row r="391" spans="9:9" x14ac:dyDescent="0.3">
      <c r="I391"/>
    </row>
    <row r="392" spans="9:9" x14ac:dyDescent="0.3">
      <c r="I392"/>
    </row>
    <row r="393" spans="9:9" x14ac:dyDescent="0.3">
      <c r="I393"/>
    </row>
    <row r="394" spans="9:9" x14ac:dyDescent="0.3">
      <c r="I394"/>
    </row>
    <row r="395" spans="9:9" x14ac:dyDescent="0.3">
      <c r="I395"/>
    </row>
    <row r="396" spans="9:9" x14ac:dyDescent="0.3">
      <c r="I396"/>
    </row>
    <row r="397" spans="9:9" x14ac:dyDescent="0.3">
      <c r="I397"/>
    </row>
    <row r="398" spans="9:9" x14ac:dyDescent="0.3">
      <c r="I398"/>
    </row>
    <row r="399" spans="9:9" x14ac:dyDescent="0.3">
      <c r="I399"/>
    </row>
    <row r="400" spans="9:9" x14ac:dyDescent="0.3">
      <c r="I400"/>
    </row>
    <row r="401" spans="9:9" x14ac:dyDescent="0.3">
      <c r="I401"/>
    </row>
    <row r="402" spans="9:9" x14ac:dyDescent="0.3">
      <c r="I402"/>
    </row>
    <row r="403" spans="9:9" x14ac:dyDescent="0.3">
      <c r="I403"/>
    </row>
    <row r="404" spans="9:9" x14ac:dyDescent="0.3">
      <c r="I404"/>
    </row>
    <row r="405" spans="9:9" x14ac:dyDescent="0.3">
      <c r="I405"/>
    </row>
    <row r="406" spans="9:9" x14ac:dyDescent="0.3">
      <c r="I406"/>
    </row>
    <row r="407" spans="9:9" x14ac:dyDescent="0.3">
      <c r="I407"/>
    </row>
    <row r="408" spans="9:9" x14ac:dyDescent="0.3">
      <c r="I408"/>
    </row>
    <row r="409" spans="9:9" x14ac:dyDescent="0.3">
      <c r="I409"/>
    </row>
    <row r="410" spans="9:9" x14ac:dyDescent="0.3">
      <c r="I410"/>
    </row>
    <row r="411" spans="9:9" x14ac:dyDescent="0.3">
      <c r="I411"/>
    </row>
    <row r="412" spans="9:9" x14ac:dyDescent="0.3">
      <c r="I412"/>
    </row>
    <row r="413" spans="9:9" x14ac:dyDescent="0.3">
      <c r="I413"/>
    </row>
    <row r="414" spans="9:9" x14ac:dyDescent="0.3">
      <c r="I414"/>
    </row>
    <row r="415" spans="9:9" x14ac:dyDescent="0.3">
      <c r="I415"/>
    </row>
    <row r="416" spans="9:9" x14ac:dyDescent="0.3">
      <c r="I416"/>
    </row>
    <row r="417" spans="9:9" x14ac:dyDescent="0.3">
      <c r="I417"/>
    </row>
    <row r="418" spans="9:9" x14ac:dyDescent="0.3">
      <c r="I418"/>
    </row>
    <row r="419" spans="9:9" x14ac:dyDescent="0.3">
      <c r="I419"/>
    </row>
    <row r="420" spans="9:9" x14ac:dyDescent="0.3">
      <c r="I420"/>
    </row>
    <row r="421" spans="9:9" x14ac:dyDescent="0.3">
      <c r="I421"/>
    </row>
    <row r="422" spans="9:9" x14ac:dyDescent="0.3">
      <c r="I422"/>
    </row>
    <row r="423" spans="9:9" x14ac:dyDescent="0.3">
      <c r="I423"/>
    </row>
  </sheetData>
  <mergeCells count="1">
    <mergeCell ref="E18:K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D540-FCFB-4FAA-BA17-4F4C6AC52639}">
  <sheetPr codeName="Foglio1">
    <tabColor theme="5" tint="0.59999389629810485"/>
  </sheetPr>
  <dimension ref="A1:AE208"/>
  <sheetViews>
    <sheetView showGridLines="0" zoomScaleNormal="100" workbookViewId="0">
      <selection activeCell="P28" sqref="P28"/>
    </sheetView>
  </sheetViews>
  <sheetFormatPr defaultRowHeight="14.4" x14ac:dyDescent="0.3"/>
  <cols>
    <col min="1" max="1" width="20.5546875" bestFit="1" customWidth="1"/>
    <col min="2" max="2" width="11.109375" customWidth="1"/>
    <col min="3" max="12" width="6.6640625" customWidth="1"/>
    <col min="13" max="13" width="5.33203125" customWidth="1"/>
    <col min="14" max="14" width="5.44140625" customWidth="1"/>
    <col min="15" max="15" width="21.21875" customWidth="1"/>
    <col min="16" max="16" width="19.44140625" customWidth="1"/>
    <col min="17" max="17" width="17.21875" bestFit="1" customWidth="1"/>
    <col min="18" max="20" width="3" bestFit="1" customWidth="1"/>
    <col min="21" max="21" width="4.109375" customWidth="1"/>
    <col min="22" max="23" width="3" bestFit="1" customWidth="1"/>
    <col min="24" max="24" width="3.33203125" customWidth="1"/>
    <col min="25" max="25" width="2.88671875" customWidth="1"/>
    <col min="26" max="26" width="17.21875" bestFit="1" customWidth="1"/>
    <col min="27" max="27" width="6.44140625" customWidth="1"/>
    <col min="28" max="28" width="22.21875" customWidth="1"/>
    <col min="29" max="29" width="12.77734375" customWidth="1"/>
  </cols>
  <sheetData>
    <row r="1" spans="1:16" ht="21" thickTop="1" thickBot="1" x14ac:dyDescent="0.55000000000000004">
      <c r="A1" s="46" t="s">
        <v>251</v>
      </c>
      <c r="B1" s="13" t="s">
        <v>3</v>
      </c>
    </row>
    <row r="2" spans="1:16" ht="20.399999999999999" thickTop="1" x14ac:dyDescent="0.5">
      <c r="A2" s="31" t="s">
        <v>1</v>
      </c>
      <c r="B2" s="50">
        <v>1</v>
      </c>
      <c r="C2" s="50">
        <v>2</v>
      </c>
      <c r="D2" s="50">
        <v>3</v>
      </c>
      <c r="E2" s="50">
        <v>4</v>
      </c>
      <c r="F2" s="50">
        <v>5</v>
      </c>
      <c r="G2" s="50">
        <v>6</v>
      </c>
      <c r="H2" s="50">
        <v>7</v>
      </c>
      <c r="I2" s="50">
        <v>8</v>
      </c>
      <c r="J2" s="50">
        <v>9</v>
      </c>
      <c r="K2" s="50">
        <v>10</v>
      </c>
      <c r="L2" s="49" t="s">
        <v>252</v>
      </c>
    </row>
    <row r="3" spans="1:16" ht="14.4" customHeight="1" thickBot="1" x14ac:dyDescent="0.35">
      <c r="A3" s="50" t="s">
        <v>103</v>
      </c>
      <c r="B3" s="47">
        <v>3</v>
      </c>
      <c r="C3" s="26">
        <v>2</v>
      </c>
      <c r="D3" s="26">
        <v>1</v>
      </c>
      <c r="E3" s="26">
        <v>0</v>
      </c>
      <c r="F3" s="26">
        <v>3</v>
      </c>
      <c r="G3" s="26">
        <v>1</v>
      </c>
      <c r="H3" s="26">
        <v>3</v>
      </c>
      <c r="I3" s="26">
        <v>1</v>
      </c>
      <c r="J3" s="26">
        <v>0</v>
      </c>
      <c r="K3" s="26">
        <v>2</v>
      </c>
      <c r="L3" s="51">
        <v>16</v>
      </c>
    </row>
    <row r="4" spans="1:16" ht="14.4" customHeight="1" x14ac:dyDescent="0.3">
      <c r="A4" s="50" t="s">
        <v>58</v>
      </c>
      <c r="B4" s="47">
        <v>2</v>
      </c>
      <c r="C4" s="26">
        <v>3</v>
      </c>
      <c r="D4" s="26">
        <v>1</v>
      </c>
      <c r="E4" s="26">
        <v>1</v>
      </c>
      <c r="F4" s="26">
        <v>0</v>
      </c>
      <c r="G4" s="26">
        <v>1</v>
      </c>
      <c r="H4" s="26">
        <v>4</v>
      </c>
      <c r="I4" s="26">
        <v>2</v>
      </c>
      <c r="J4" s="26">
        <v>2</v>
      </c>
      <c r="K4" s="26">
        <v>0</v>
      </c>
      <c r="L4" s="51">
        <v>16</v>
      </c>
      <c r="O4" s="32" t="s">
        <v>246</v>
      </c>
      <c r="P4" s="33"/>
    </row>
    <row r="5" spans="1:16" ht="14.4" customHeight="1" x14ac:dyDescent="0.3">
      <c r="A5" s="50" t="s">
        <v>30</v>
      </c>
      <c r="B5" s="47">
        <v>0</v>
      </c>
      <c r="C5" s="26">
        <v>2</v>
      </c>
      <c r="D5" s="26">
        <v>0</v>
      </c>
      <c r="E5" s="26">
        <v>0</v>
      </c>
      <c r="F5" s="26">
        <v>2</v>
      </c>
      <c r="G5" s="26">
        <v>2</v>
      </c>
      <c r="H5" s="26">
        <v>0</v>
      </c>
      <c r="I5" s="26">
        <v>0</v>
      </c>
      <c r="J5" s="26">
        <v>0</v>
      </c>
      <c r="K5" s="26">
        <v>2</v>
      </c>
      <c r="L5" s="51">
        <v>8</v>
      </c>
      <c r="O5" s="34"/>
      <c r="P5" s="35"/>
    </row>
    <row r="6" spans="1:16" ht="14.4" customHeight="1" thickBot="1" x14ac:dyDescent="0.35">
      <c r="A6" s="50" t="s">
        <v>49</v>
      </c>
      <c r="B6" s="47">
        <v>2</v>
      </c>
      <c r="C6" s="26">
        <v>1</v>
      </c>
      <c r="D6" s="26">
        <v>1</v>
      </c>
      <c r="E6" s="26">
        <v>6</v>
      </c>
      <c r="F6" s="26">
        <v>1</v>
      </c>
      <c r="G6" s="26">
        <v>2</v>
      </c>
      <c r="H6" s="26">
        <v>0</v>
      </c>
      <c r="I6" s="26">
        <v>1</v>
      </c>
      <c r="J6" s="26">
        <v>2</v>
      </c>
      <c r="K6" s="26">
        <v>0</v>
      </c>
      <c r="L6" s="51">
        <v>16</v>
      </c>
      <c r="O6" s="36"/>
      <c r="P6" s="37"/>
    </row>
    <row r="7" spans="1:16" ht="14.4" customHeight="1" x14ac:dyDescent="0.3">
      <c r="A7" s="50" t="s">
        <v>21</v>
      </c>
      <c r="B7" s="47">
        <v>3</v>
      </c>
      <c r="C7" s="26">
        <v>1</v>
      </c>
      <c r="D7" s="26">
        <v>2</v>
      </c>
      <c r="E7" s="26">
        <v>3</v>
      </c>
      <c r="F7" s="26">
        <v>2</v>
      </c>
      <c r="G7" s="26">
        <v>3</v>
      </c>
      <c r="H7" s="26">
        <v>0</v>
      </c>
      <c r="I7" s="26">
        <v>0</v>
      </c>
      <c r="J7" s="26">
        <v>1</v>
      </c>
      <c r="K7" s="26">
        <v>1</v>
      </c>
      <c r="L7" s="51">
        <v>16</v>
      </c>
      <c r="O7" s="2" t="s">
        <v>260</v>
      </c>
      <c r="P7" s="2">
        <v>1</v>
      </c>
    </row>
    <row r="8" spans="1:16" ht="14.4" customHeight="1" x14ac:dyDescent="0.3">
      <c r="A8" s="50" t="s">
        <v>34</v>
      </c>
      <c r="B8" s="47">
        <v>1</v>
      </c>
      <c r="C8" s="26">
        <v>1</v>
      </c>
      <c r="D8" s="26">
        <v>3</v>
      </c>
      <c r="E8" s="26">
        <v>0</v>
      </c>
      <c r="F8" s="26">
        <v>4</v>
      </c>
      <c r="G8" s="26">
        <v>4</v>
      </c>
      <c r="H8" s="26">
        <v>1</v>
      </c>
      <c r="I8" s="26">
        <v>0</v>
      </c>
      <c r="J8" s="26">
        <v>2</v>
      </c>
      <c r="K8" s="26">
        <v>0</v>
      </c>
      <c r="L8" s="51">
        <v>16</v>
      </c>
      <c r="O8" s="2" t="s">
        <v>258</v>
      </c>
      <c r="P8" s="2">
        <f>P7/GETPIVOTDATA("TradeID",$A$1)</f>
        <v>5.0000000000000001E-3</v>
      </c>
    </row>
    <row r="9" spans="1:16" ht="14.4" customHeight="1" x14ac:dyDescent="0.3">
      <c r="A9" s="50" t="s">
        <v>46</v>
      </c>
      <c r="B9" s="47">
        <v>0</v>
      </c>
      <c r="C9" s="26">
        <v>0</v>
      </c>
      <c r="D9" s="26">
        <v>0</v>
      </c>
      <c r="E9" s="26">
        <v>0</v>
      </c>
      <c r="F9" s="26">
        <v>3</v>
      </c>
      <c r="G9" s="26">
        <v>1</v>
      </c>
      <c r="H9" s="26">
        <v>2</v>
      </c>
      <c r="I9" s="26">
        <v>0</v>
      </c>
      <c r="J9" s="26">
        <v>1</v>
      </c>
      <c r="K9" s="26">
        <v>1</v>
      </c>
      <c r="L9" s="51">
        <v>8</v>
      </c>
      <c r="O9" s="2" t="s">
        <v>259</v>
      </c>
      <c r="P9" s="45">
        <f>P8</f>
        <v>5.0000000000000001E-3</v>
      </c>
    </row>
    <row r="10" spans="1:16" ht="14.4" customHeight="1" x14ac:dyDescent="0.3">
      <c r="A10" s="50" t="s">
        <v>9</v>
      </c>
      <c r="B10" s="47">
        <v>4</v>
      </c>
      <c r="C10" s="26">
        <v>4</v>
      </c>
      <c r="D10" s="26">
        <v>4</v>
      </c>
      <c r="E10" s="26">
        <v>1</v>
      </c>
      <c r="F10" s="26">
        <v>1</v>
      </c>
      <c r="G10" s="26">
        <v>3</v>
      </c>
      <c r="H10" s="26">
        <v>2</v>
      </c>
      <c r="I10" s="26">
        <v>1</v>
      </c>
      <c r="J10" s="26">
        <v>2</v>
      </c>
      <c r="K10" s="26">
        <v>2</v>
      </c>
      <c r="L10" s="51">
        <v>24</v>
      </c>
    </row>
    <row r="11" spans="1:16" ht="14.4" customHeight="1" x14ac:dyDescent="0.3">
      <c r="A11" s="50" t="s">
        <v>12</v>
      </c>
      <c r="B11" s="47">
        <v>0</v>
      </c>
      <c r="C11" s="26">
        <v>2</v>
      </c>
      <c r="D11" s="26">
        <v>1</v>
      </c>
      <c r="E11" s="26">
        <v>1</v>
      </c>
      <c r="F11" s="26">
        <v>1</v>
      </c>
      <c r="G11" s="26">
        <v>1</v>
      </c>
      <c r="H11" s="26">
        <v>0</v>
      </c>
      <c r="I11" s="26">
        <v>1</v>
      </c>
      <c r="J11" s="26">
        <v>0</v>
      </c>
      <c r="K11" s="26">
        <v>1</v>
      </c>
      <c r="L11" s="51">
        <v>8</v>
      </c>
    </row>
    <row r="12" spans="1:16" ht="14.4" customHeight="1" x14ac:dyDescent="0.3">
      <c r="A12" s="50" t="s">
        <v>43</v>
      </c>
      <c r="B12" s="47">
        <v>1</v>
      </c>
      <c r="C12" s="26">
        <v>1</v>
      </c>
      <c r="D12" s="26">
        <v>1</v>
      </c>
      <c r="E12" s="26">
        <v>0</v>
      </c>
      <c r="F12" s="26">
        <v>0</v>
      </c>
      <c r="G12" s="26">
        <v>2</v>
      </c>
      <c r="H12" s="26">
        <v>0</v>
      </c>
      <c r="I12" s="26">
        <v>2</v>
      </c>
      <c r="J12" s="26">
        <v>1</v>
      </c>
      <c r="K12" s="26">
        <v>0</v>
      </c>
      <c r="L12" s="51">
        <v>8</v>
      </c>
    </row>
    <row r="13" spans="1:16" ht="14.4" customHeight="1" x14ac:dyDescent="0.3">
      <c r="A13" s="50" t="s">
        <v>39</v>
      </c>
      <c r="B13" s="47">
        <v>1</v>
      </c>
      <c r="C13" s="26">
        <v>2</v>
      </c>
      <c r="D13" s="26">
        <v>0</v>
      </c>
      <c r="E13" s="26">
        <v>0</v>
      </c>
      <c r="F13" s="26">
        <v>2</v>
      </c>
      <c r="G13" s="26">
        <v>1</v>
      </c>
      <c r="H13" s="26">
        <v>2</v>
      </c>
      <c r="I13" s="26">
        <v>0</v>
      </c>
      <c r="J13" s="26">
        <v>0</v>
      </c>
      <c r="K13" s="26">
        <v>0</v>
      </c>
      <c r="L13" s="51">
        <v>8</v>
      </c>
    </row>
    <row r="14" spans="1:16" ht="14.4" customHeight="1" thickBot="1" x14ac:dyDescent="0.35">
      <c r="A14" s="50" t="s">
        <v>27</v>
      </c>
      <c r="B14" s="47">
        <v>2</v>
      </c>
      <c r="C14" s="26">
        <v>0</v>
      </c>
      <c r="D14" s="26">
        <v>1</v>
      </c>
      <c r="E14" s="26">
        <v>2</v>
      </c>
      <c r="F14" s="26">
        <v>1</v>
      </c>
      <c r="G14" s="26">
        <v>1</v>
      </c>
      <c r="H14" s="26">
        <v>0</v>
      </c>
      <c r="I14" s="26">
        <v>0</v>
      </c>
      <c r="J14" s="26">
        <v>0</v>
      </c>
      <c r="K14" s="26">
        <v>1</v>
      </c>
      <c r="L14" s="51">
        <v>8</v>
      </c>
    </row>
    <row r="15" spans="1:16" ht="14.4" customHeight="1" x14ac:dyDescent="0.3">
      <c r="A15" s="50" t="s">
        <v>24</v>
      </c>
      <c r="B15" s="47">
        <v>2</v>
      </c>
      <c r="C15" s="26">
        <v>0</v>
      </c>
      <c r="D15" s="26">
        <v>2</v>
      </c>
      <c r="E15" s="26">
        <v>0</v>
      </c>
      <c r="F15" s="26">
        <v>0</v>
      </c>
      <c r="G15" s="26">
        <v>1</v>
      </c>
      <c r="H15" s="26">
        <v>2</v>
      </c>
      <c r="I15" s="26">
        <v>1</v>
      </c>
      <c r="J15" s="26">
        <v>0</v>
      </c>
      <c r="K15" s="26">
        <v>0</v>
      </c>
      <c r="L15" s="51">
        <v>8</v>
      </c>
      <c r="O15" s="38" t="s">
        <v>247</v>
      </c>
      <c r="P15" s="39"/>
    </row>
    <row r="16" spans="1:16" ht="14.4" customHeight="1" x14ac:dyDescent="0.3">
      <c r="A16" s="50" t="s">
        <v>17</v>
      </c>
      <c r="B16" s="47">
        <v>2</v>
      </c>
      <c r="C16" s="26">
        <v>0</v>
      </c>
      <c r="D16" s="26">
        <v>0</v>
      </c>
      <c r="E16" s="26">
        <v>0</v>
      </c>
      <c r="F16" s="26">
        <v>0</v>
      </c>
      <c r="G16" s="26">
        <v>2</v>
      </c>
      <c r="H16" s="26">
        <v>0</v>
      </c>
      <c r="I16" s="26">
        <v>2</v>
      </c>
      <c r="J16" s="26">
        <v>1</v>
      </c>
      <c r="K16" s="26">
        <v>1</v>
      </c>
      <c r="L16" s="51">
        <v>8</v>
      </c>
      <c r="O16" s="40"/>
      <c r="P16" s="41"/>
    </row>
    <row r="17" spans="1:16" ht="14.4" customHeight="1" thickBot="1" x14ac:dyDescent="0.35">
      <c r="A17" s="50" t="s">
        <v>73</v>
      </c>
      <c r="B17" s="47">
        <v>0</v>
      </c>
      <c r="C17" s="26">
        <v>0</v>
      </c>
      <c r="D17" s="26">
        <v>1</v>
      </c>
      <c r="E17" s="26">
        <v>1</v>
      </c>
      <c r="F17" s="26">
        <v>1</v>
      </c>
      <c r="G17" s="26">
        <v>0</v>
      </c>
      <c r="H17" s="26">
        <v>1</v>
      </c>
      <c r="I17" s="26">
        <v>0</v>
      </c>
      <c r="J17" s="26">
        <v>2</v>
      </c>
      <c r="K17" s="26">
        <v>2</v>
      </c>
      <c r="L17" s="51">
        <v>8</v>
      </c>
      <c r="O17" s="42"/>
      <c r="P17" s="43"/>
    </row>
    <row r="18" spans="1:16" ht="15" customHeight="1" x14ac:dyDescent="0.3">
      <c r="A18" s="50" t="s">
        <v>54</v>
      </c>
      <c r="B18" s="47">
        <v>1</v>
      </c>
      <c r="C18" s="26">
        <v>2</v>
      </c>
      <c r="D18" s="26">
        <v>0</v>
      </c>
      <c r="E18" s="26">
        <v>1</v>
      </c>
      <c r="F18" s="26">
        <v>0</v>
      </c>
      <c r="G18" s="26">
        <v>1</v>
      </c>
      <c r="H18" s="26">
        <v>2</v>
      </c>
      <c r="I18" s="26">
        <v>0</v>
      </c>
      <c r="J18" s="26">
        <v>1</v>
      </c>
      <c r="K18" s="26">
        <v>0</v>
      </c>
      <c r="L18" s="51">
        <v>8</v>
      </c>
      <c r="O18" s="2" t="s">
        <v>253</v>
      </c>
      <c r="P18" s="2">
        <f>14+6+20+7+7+8+8+4</f>
        <v>74</v>
      </c>
    </row>
    <row r="19" spans="1:16" ht="15.6" x14ac:dyDescent="0.3">
      <c r="A19" s="50" t="s">
        <v>61</v>
      </c>
      <c r="B19" s="47">
        <v>2</v>
      </c>
      <c r="C19" s="26">
        <v>1</v>
      </c>
      <c r="D19" s="26">
        <v>3</v>
      </c>
      <c r="E19" s="26">
        <v>2</v>
      </c>
      <c r="F19" s="26">
        <v>0</v>
      </c>
      <c r="G19" s="26">
        <v>1</v>
      </c>
      <c r="H19" s="26">
        <v>1</v>
      </c>
      <c r="I19" s="26">
        <v>3</v>
      </c>
      <c r="J19" s="26">
        <v>0</v>
      </c>
      <c r="K19" s="26">
        <v>3</v>
      </c>
      <c r="L19" s="51">
        <v>16</v>
      </c>
      <c r="O19" s="2" t="s">
        <v>258</v>
      </c>
      <c r="P19" s="2">
        <f>P18/GETPIVOTDATA("TradeID",$A$1)</f>
        <v>0.37</v>
      </c>
    </row>
    <row r="20" spans="1:16" ht="15.6" x14ac:dyDescent="0.3">
      <c r="A20" s="48" t="s">
        <v>252</v>
      </c>
      <c r="B20" s="26">
        <v>26</v>
      </c>
      <c r="C20" s="26">
        <v>22</v>
      </c>
      <c r="D20" s="26">
        <v>21</v>
      </c>
      <c r="E20" s="26">
        <v>18</v>
      </c>
      <c r="F20" s="26">
        <v>21</v>
      </c>
      <c r="G20" s="26">
        <v>27</v>
      </c>
      <c r="H20" s="26">
        <v>20</v>
      </c>
      <c r="I20" s="26">
        <v>14</v>
      </c>
      <c r="J20" s="26">
        <v>15</v>
      </c>
      <c r="K20" s="26">
        <v>16</v>
      </c>
      <c r="L20" s="26">
        <v>200</v>
      </c>
      <c r="O20" s="2" t="s">
        <v>259</v>
      </c>
      <c r="P20" s="44">
        <f>P19</f>
        <v>0.37</v>
      </c>
    </row>
    <row r="205" spans="24:31" x14ac:dyDescent="0.3">
      <c r="X205" s="2" t="s">
        <v>241</v>
      </c>
      <c r="Y205" s="2" t="s">
        <v>45</v>
      </c>
      <c r="Z205" s="2" t="s">
        <v>46</v>
      </c>
      <c r="AA205" s="3">
        <v>44412</v>
      </c>
      <c r="AB205" s="2">
        <v>5</v>
      </c>
      <c r="AC205" s="2">
        <v>0.24147425161639699</v>
      </c>
      <c r="AD205" s="3">
        <v>45005</v>
      </c>
      <c r="AE205" s="2">
        <v>0.23302367858983999</v>
      </c>
    </row>
    <row r="206" spans="24:31" x14ac:dyDescent="0.3">
      <c r="X206" s="2" t="s">
        <v>242</v>
      </c>
      <c r="Y206" s="2" t="s">
        <v>57</v>
      </c>
      <c r="Z206" s="2" t="s">
        <v>58</v>
      </c>
      <c r="AA206" s="3">
        <v>44828</v>
      </c>
      <c r="AB206" s="2">
        <v>6</v>
      </c>
      <c r="AC206" s="2">
        <v>0.51291771398490105</v>
      </c>
      <c r="AD206" s="3">
        <v>44987</v>
      </c>
      <c r="AE206" s="2">
        <v>0.755021488484095</v>
      </c>
    </row>
    <row r="207" spans="24:31" x14ac:dyDescent="0.3">
      <c r="X207" s="2" t="s">
        <v>243</v>
      </c>
      <c r="Y207" s="2" t="s">
        <v>72</v>
      </c>
      <c r="Z207" s="2" t="s">
        <v>73</v>
      </c>
      <c r="AA207" s="3">
        <v>44742</v>
      </c>
      <c r="AB207" s="2">
        <v>9</v>
      </c>
      <c r="AC207" s="2">
        <v>0.30094368268289601</v>
      </c>
      <c r="AD207" s="3">
        <v>45037</v>
      </c>
      <c r="AE207" s="2">
        <v>0.55983002083455202</v>
      </c>
    </row>
    <row r="208" spans="24:31" x14ac:dyDescent="0.3">
      <c r="X208" s="2" t="s">
        <v>244</v>
      </c>
      <c r="Y208" s="2" t="s">
        <v>57</v>
      </c>
      <c r="Z208" s="2" t="s">
        <v>58</v>
      </c>
      <c r="AA208" s="3">
        <v>44502</v>
      </c>
      <c r="AB208" s="2">
        <v>8</v>
      </c>
      <c r="AC208" s="2">
        <v>0.91352809441905303</v>
      </c>
      <c r="AD208" s="3">
        <v>44978</v>
      </c>
      <c r="AE208" s="2">
        <v>0.137985792121295</v>
      </c>
    </row>
  </sheetData>
  <mergeCells count="2">
    <mergeCell ref="O15:P17"/>
    <mergeCell ref="O4:P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9DD5FB-9BDD-4F33-8F12-2DF30DC315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My trades</vt:lpstr>
      <vt:lpstr>Stock Exchanges</vt:lpstr>
      <vt:lpstr>Profit Insights</vt:lpstr>
      <vt:lpstr>Number of trades Exchanged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Giaroli</dc:creator>
  <cp:lastModifiedBy>Chiara Giaroli</cp:lastModifiedBy>
  <dcterms:created xsi:type="dcterms:W3CDTF">2015-06-05T18:19:34Z</dcterms:created>
  <dcterms:modified xsi:type="dcterms:W3CDTF">2025-09-25T17:08:31Z</dcterms:modified>
</cp:coreProperties>
</file>